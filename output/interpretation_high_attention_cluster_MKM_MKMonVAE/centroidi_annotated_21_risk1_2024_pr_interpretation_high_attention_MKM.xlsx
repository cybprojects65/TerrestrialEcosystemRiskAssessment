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voro\github\TerrestrialEcosystemRiskAssessment\output\interpretation_high_attention_cluster_MKM_MKMonVAE\"/>
    </mc:Choice>
  </mc:AlternateContent>
  <xr:revisionPtr revIDLastSave="0" documentId="13_ncr:1_{FA203419-E297-4946-84DB-82B48DB1D96A}" xr6:coauthVersionLast="47" xr6:coauthVersionMax="47" xr10:uidLastSave="{00000000-0000-0000-0000-000000000000}"/>
  <bookViews>
    <workbookView xWindow="-38510" yWindow="-11090" windowWidth="38620" windowHeight="21220" firstSheet="1" activeTab="3" xr2:uid="{22D72F45-BD53-46FD-A559-98F644819B2D}"/>
  </bookViews>
  <sheets>
    <sheet name="Sheet1" sheetId="2" r:id="rId1"/>
    <sheet name="Foglio1" sheetId="3" r:id="rId2"/>
    <sheet name="centroidi_annotated_21_risk_rev" sheetId="4" r:id="rId3"/>
    <sheet name="centroidi_annotated_21_risk (2)" sheetId="5" r:id="rId4"/>
  </sheets>
  <definedNames>
    <definedName name="_xlnm._FilterDatabase" localSheetId="3" hidden="1">'centroidi_annotated_21_risk (2)'!$A$1:$AO$16</definedName>
    <definedName name="_xlnm._FilterDatabase" localSheetId="2" hidden="1">centroidi_annotated_21_risk_rev!$A$1:$AC$22</definedName>
    <definedName name="_xlnm._FilterDatabase" localSheetId="1" hidden="1">Foglio1!$A$1:$AF$22</definedName>
    <definedName name="_xlnm._FilterDatabase" localSheetId="0" hidden="1">Sheet1!$A$1:$AF$16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5" l="1"/>
  <c r="AM18" i="5"/>
  <c r="AJ18" i="5"/>
  <c r="AG18" i="5"/>
  <c r="AD18" i="5"/>
  <c r="AA18" i="5"/>
  <c r="X18" i="5"/>
  <c r="U18" i="5"/>
  <c r="R18" i="5"/>
  <c r="O18" i="5"/>
  <c r="L18" i="5"/>
  <c r="I18" i="5"/>
  <c r="AL18" i="5"/>
  <c r="AI18" i="5"/>
  <c r="AF18" i="5"/>
  <c r="AC18" i="5"/>
  <c r="Z18" i="5"/>
  <c r="W18" i="5"/>
  <c r="T18" i="5"/>
  <c r="Q18" i="5"/>
  <c r="N18" i="5"/>
  <c r="K18" i="5"/>
  <c r="H18" i="5"/>
  <c r="E18" i="5"/>
  <c r="C5" i="5" l="1"/>
  <c r="B3" i="5"/>
  <c r="C3" i="5"/>
  <c r="B10" i="5"/>
  <c r="B2" i="5"/>
  <c r="B9" i="5"/>
  <c r="B16" i="5"/>
  <c r="B8" i="5"/>
  <c r="B15" i="5"/>
  <c r="B7" i="5"/>
  <c r="B14" i="5"/>
  <c r="B6" i="5"/>
  <c r="B13" i="5"/>
  <c r="B5" i="5"/>
  <c r="B12" i="5"/>
  <c r="B4" i="5"/>
  <c r="B11" i="5"/>
  <c r="C4" i="5"/>
  <c r="C12" i="5"/>
  <c r="C11" i="5"/>
  <c r="C10" i="5"/>
  <c r="C9" i="5"/>
  <c r="C16" i="5"/>
  <c r="C8" i="5"/>
  <c r="C2" i="5"/>
  <c r="C15" i="5"/>
  <c r="C14" i="5"/>
  <c r="C6" i="5"/>
  <c r="C7" i="5"/>
  <c r="C13" i="5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" i="4"/>
  <c r="AA24" i="4"/>
  <c r="Y24" i="4"/>
  <c r="W24" i="4"/>
  <c r="U24" i="4"/>
  <c r="S24" i="4"/>
  <c r="Q24" i="4"/>
  <c r="O24" i="4"/>
  <c r="M24" i="4"/>
  <c r="K24" i="4"/>
  <c r="I24" i="4"/>
  <c r="G24" i="4"/>
  <c r="E24" i="4"/>
  <c r="AD24" i="3"/>
  <c r="AB24" i="3"/>
  <c r="Z24" i="3"/>
  <c r="X24" i="3"/>
  <c r="V24" i="3"/>
  <c r="T24" i="3"/>
  <c r="R24" i="3"/>
  <c r="P24" i="3"/>
  <c r="N24" i="3"/>
  <c r="L24" i="3"/>
  <c r="J24" i="3"/>
  <c r="H24" i="3"/>
</calcChain>
</file>

<file path=xl/sharedStrings.xml><?xml version="1.0" encoding="utf-8"?>
<sst xmlns="http://schemas.openxmlformats.org/spreadsheetml/2006/main" count="1329" uniqueCount="175">
  <si>
    <t>centroid_id</t>
  </si>
  <si>
    <t>out003_land_imperviousness_density_change_2024pr</t>
  </si>
  <si>
    <t>out003_land_imperviousness_density_change_2024pr_label</t>
  </si>
  <si>
    <t>out009_tree_cover_density_2024pr</t>
  </si>
  <si>
    <t>out010_tree_cover_density_change_2024pr</t>
  </si>
  <si>
    <t>out010_tree_cover_density_change_2024pr_label</t>
  </si>
  <si>
    <t>out011_grassland_2024pr</t>
  </si>
  <si>
    <t>out011_grassland_2024pr_label</t>
  </si>
  <si>
    <t>out012_grassland_change_2024pr</t>
  </si>
  <si>
    <t>out012_grassland_change_2024pr_label</t>
  </si>
  <si>
    <t>out017_land_use_and_cover_nature_2k_2024pr</t>
  </si>
  <si>
    <t>out017_land_use_and_cover_nature_2k_2024pr_label</t>
  </si>
  <si>
    <t>out040_plant_phenology_index_total_productivity_2024pr_label</t>
  </si>
  <si>
    <t>out057_temperature_avg_absolute_change_2024pr_rcp85</t>
  </si>
  <si>
    <t>out057_temperature_avg_absolute_change_2024pr_rcp85_label</t>
  </si>
  <si>
    <t>out058_potential_evapotranspiration_relative_change_2024pr_rcp85</t>
  </si>
  <si>
    <t>out058_potential_evapotranspiration_relative_change_2024pr_rcp85_label</t>
  </si>
  <si>
    <t>out059_precipitation_cum_relative_change_2024pr_rcp85</t>
  </si>
  <si>
    <t>out059_precipitation_cum_relative_change_2024pr_rcp85_label</t>
  </si>
  <si>
    <t>out065_number_species_cum_all_2024pr</t>
  </si>
  <si>
    <t>out065_number_species_cum_all_2024pr_label</t>
  </si>
  <si>
    <t>out147_land_use_and_cover_change_2024pr</t>
  </si>
  <si>
    <t>out147_land_use_and_cover_change_2024pr_label</t>
  </si>
  <si>
    <t>risk_level</t>
  </si>
  <si>
    <t>H</t>
  </si>
  <si>
    <t>M</t>
  </si>
  <si>
    <t>L</t>
  </si>
  <si>
    <t>high risk</t>
  </si>
  <si>
    <t>out040_plant_phenology_index_total_productivity_2024pr_standadized</t>
  </si>
  <si>
    <t>Analysis</t>
  </si>
  <si>
    <t>interpretation</t>
  </si>
  <si>
    <t>li tcc ET</t>
  </si>
  <si>
    <t>gr PH TE ET</t>
  </si>
  <si>
    <t>TC tcc pr</t>
  </si>
  <si>
    <t>PR</t>
  </si>
  <si>
    <t>TC tcc ph et sp</t>
  </si>
  <si>
    <t>tcc GR pr sp</t>
  </si>
  <si>
    <t>tcc grc ph pr SP</t>
  </si>
  <si>
    <t>tcc lu pr SP</t>
  </si>
  <si>
    <t>TE et SP</t>
  </si>
  <si>
    <t>PH PR sp</t>
  </si>
  <si>
    <t>grc lu TE et LC</t>
  </si>
  <si>
    <t>gr grc ph TE et sp lc</t>
  </si>
  <si>
    <t>tcc lu et lc</t>
  </si>
  <si>
    <t>tc ph et lc</t>
  </si>
  <si>
    <t>gr lu TE ET lc</t>
  </si>
  <si>
    <t>Priority</t>
  </si>
  <si>
    <t>PRECIPITATION</t>
  </si>
  <si>
    <t>low</t>
  </si>
  <si>
    <t>grassland PHENOLOGY TEMPERATURE ETR</t>
  </si>
  <si>
    <t>medium</t>
  </si>
  <si>
    <t>tree_cover phenology etr land_cover_change</t>
  </si>
  <si>
    <t>grassland grassland_change phenology TEMPERATURE etr species land_cover_change</t>
  </si>
  <si>
    <t>high</t>
  </si>
  <si>
    <t>tree_cover_change land_use etr land_cover_change</t>
  </si>
  <si>
    <t>grassland_change land_use TEMPERATURE etr LAND_USE_CHANGE</t>
  </si>
  <si>
    <t>TEMPERATURE etr SPECIES</t>
  </si>
  <si>
    <t>land_iperviousness tree_cover_change ETR</t>
  </si>
  <si>
    <t>grassland land_use TEMPERATURE ETR land_use_change</t>
  </si>
  <si>
    <t>TREE_COVER tree_cover_change precipitation</t>
  </si>
  <si>
    <t>tree_cover_change GRASSLAND precipitation species</t>
  </si>
  <si>
    <t>PHENOLOGY PRECIPITATION species</t>
  </si>
  <si>
    <t>TREE_COVER tree_cover_change phenology etr species</t>
  </si>
  <si>
    <t>tree_cover_change land_use precipitation SPECIES</t>
  </si>
  <si>
    <t>Ecosystem change risk</t>
  </si>
  <si>
    <t>Anthropic</t>
  </si>
  <si>
    <t>Caracterization</t>
  </si>
  <si>
    <t>Ecosystem risks</t>
  </si>
  <si>
    <t>Aridity</t>
  </si>
  <si>
    <t>tree_cover_change grassland_change phenology precipitation SPECIES</t>
  </si>
  <si>
    <t>Territory change</t>
  </si>
  <si>
    <t>out009_tree_cover_density_2024pr_label</t>
  </si>
  <si>
    <t>out040_plant_phenology_index_total_productivity_2024pr</t>
  </si>
  <si>
    <t>Legend</t>
  </si>
  <si>
    <t>LIC/lic</t>
  </si>
  <si>
    <t>land_imperviousness_density_change</t>
  </si>
  <si>
    <t>TC/tc</t>
  </si>
  <si>
    <t>tree_cover_density</t>
  </si>
  <si>
    <t>TCC/tcc</t>
  </si>
  <si>
    <t>tree_cover_density_change</t>
  </si>
  <si>
    <t>GR/gr</t>
  </si>
  <si>
    <t>grassland</t>
  </si>
  <si>
    <t>GRC/grc</t>
  </si>
  <si>
    <t>grassland_change</t>
  </si>
  <si>
    <t>LU/lu</t>
  </si>
  <si>
    <t>land_use_and_cover</t>
  </si>
  <si>
    <t>PI/pi</t>
  </si>
  <si>
    <t>plant_phenology_index_total_productivity</t>
  </si>
  <si>
    <t>TEC/tec</t>
  </si>
  <si>
    <t>temperature_avg_absolute_change</t>
  </si>
  <si>
    <t>PETC/petc</t>
  </si>
  <si>
    <t>potential_evapotranspiration_relative_change</t>
  </si>
  <si>
    <t>PRC/prc</t>
  </si>
  <si>
    <t>precipitation_cum_relative_change</t>
  </si>
  <si>
    <t>SP/sp</t>
  </si>
  <si>
    <t>number_species</t>
  </si>
  <si>
    <t>LUC/luc</t>
  </si>
  <si>
    <t>land_use_and_cover_change</t>
  </si>
  <si>
    <t>PRC</t>
  </si>
  <si>
    <t>PRECIPITATION_CUM_RELATIVE_CHANGE</t>
  </si>
  <si>
    <t>gr PI TEC PETC</t>
  </si>
  <si>
    <t>grassland PLANT_PHENOLOGY_INDEX_TOTAL_PRODUCTIVITY TEMPERATURE_AVG_ABSOLUTE_CHANGE POTENTIAL_EVAPOTRANSPIRATION_RELATIVE_CHANGE</t>
  </si>
  <si>
    <t>tc pi petc luc</t>
  </si>
  <si>
    <t>tree_cover_density plant_phenology_index_total_productivity potential_evapotranspiration_relative_change land_use_and_cover_change</t>
  </si>
  <si>
    <t>gr grc pi TEC petc sp luc</t>
  </si>
  <si>
    <t>grassland grassland_change plant_phenology_index_total_productivity TEMPERATURE_AVG_ABSOLUTE_CHANGE potential_evapotranspiration_relative_change number_species land_use_and_cover_change</t>
  </si>
  <si>
    <t>Media</t>
  </si>
  <si>
    <t>tcc lu petc luc</t>
  </si>
  <si>
    <t>tree_cover_density_change land_use_and_cover potential_evapotranspiration_relative_change land_use_and_cover_change</t>
  </si>
  <si>
    <t>grc lu TEC petc LUC</t>
  </si>
  <si>
    <t>grassland_changeland_use_and_cover TEMPERATURE_AVG_ABSOLUTE_CHANGE potential_evapotranspiration_relative_change LAND_USE_AND_COVER_CHANGE</t>
  </si>
  <si>
    <t>TEC petc SP</t>
  </si>
  <si>
    <t>TEMPERATURE_AVG_ABSOLUTE_CHANGE potential_evapotranspiration_relative_change NUMBER_SPECIES</t>
  </si>
  <si>
    <t>lic tcc PETC</t>
  </si>
  <si>
    <t>gr lu TEC PETC luc</t>
  </si>
  <si>
    <t>TC tcc prc</t>
  </si>
  <si>
    <t>tcc GR prc sp</t>
  </si>
  <si>
    <t>PI PRC sp</t>
  </si>
  <si>
    <t>TC tcc pi petc sp</t>
  </si>
  <si>
    <t>tcc grc pi prc SP</t>
  </si>
  <si>
    <t>land_imperviousness_density_change tree_cover_density_change POTENTIAL_EVAPOTRANSPIRATION_RELATIVE_CHANGE</t>
  </si>
  <si>
    <t>grassland land_use_and_cover TEMPERATURE_AVG_ABSOLUTE_CHANGE POTENTIAL_EVAPOTRANSPIRATION_RELATIVE_CHANGE land_use_and_cover_change</t>
  </si>
  <si>
    <t>TREE_COVER_DENSITY tree_cover_density_change precipitation_cum_relative_change</t>
  </si>
  <si>
    <t>tree_cover_density_change GRASSLAND precipitation_cum_relative_change number_species</t>
  </si>
  <si>
    <t>tree_cover_density_change grassland_change phenology precipitation_cum_relative_change NUMBER_SPECIES</t>
  </si>
  <si>
    <t>tree_cover_density_change land_use precipitation_cum_relative_change NUMBER_SPECIES</t>
  </si>
  <si>
    <t>PLANT_PHENOLOGY_INDEX_TOTAL_PRODUCTIVITY PRECIPITATION_CUM_RELATIVE_CHANGE number_species</t>
  </si>
  <si>
    <t>TREE_COVER_DENSITY tree_cover_density_change plant_phenology_index_total_productivity potential_evapotranspiration_relative_change number_species</t>
  </si>
  <si>
    <t>Interpretation</t>
  </si>
  <si>
    <t>Ecosystem risk</t>
  </si>
  <si>
    <t>id 3 si potrebbe rimuovere non requisiti di biodiversità id 16 ha solo 3 variabili senza variazione di densità forestata e prateria</t>
  </si>
  <si>
    <t>attention_level</t>
  </si>
  <si>
    <t>high attention</t>
  </si>
  <si>
    <t>medium attention</t>
  </si>
  <si>
    <t>low attention</t>
  </si>
  <si>
    <t>Score</t>
  </si>
  <si>
    <t>Sdv 0.00-0.50</t>
  </si>
  <si>
    <t>Sdv &gt;0.50</t>
  </si>
  <si>
    <t>lic</t>
  </si>
  <si>
    <t>LIC</t>
  </si>
  <si>
    <t>tc</t>
  </si>
  <si>
    <t>TC</t>
  </si>
  <si>
    <t>tcc</t>
  </si>
  <si>
    <t>TCC</t>
  </si>
  <si>
    <t>gr</t>
  </si>
  <si>
    <t>GR</t>
  </si>
  <si>
    <t>grc</t>
  </si>
  <si>
    <t>GRC</t>
  </si>
  <si>
    <t>lu</t>
  </si>
  <si>
    <t>LU</t>
  </si>
  <si>
    <t>pi</t>
  </si>
  <si>
    <t>PI</t>
  </si>
  <si>
    <t>tec</t>
  </si>
  <si>
    <t>TEC</t>
  </si>
  <si>
    <t>petc</t>
  </si>
  <si>
    <t>PETC</t>
  </si>
  <si>
    <t>prc</t>
  </si>
  <si>
    <t>sp</t>
  </si>
  <si>
    <t>SP</t>
  </si>
  <si>
    <t>luc</t>
  </si>
  <si>
    <t>LUC</t>
  </si>
  <si>
    <t>out003_land_imperviousness_density_change_2024pr_ds</t>
  </si>
  <si>
    <t>out009_tree_cover_density_2024pr_ds</t>
  </si>
  <si>
    <t>out010_tree_cover_density_change_2024pr_ds</t>
  </si>
  <si>
    <t>out011_grassland_2024pr_ds</t>
  </si>
  <si>
    <t>out012_grassland_change_2024pr_ds</t>
  </si>
  <si>
    <t>out017_land_use_and_cover_nature_2k_2024pr_ds</t>
  </si>
  <si>
    <t>out040_plant_phenology_index_total_productivity_2024pr_ds</t>
  </si>
  <si>
    <t>out057_temperature_avg_absolute_change_2024pr_rcp85_ds</t>
  </si>
  <si>
    <t>out058_potential_evapotranspiration_relative_change_2024pr_rcp85_ds</t>
  </si>
  <si>
    <t>out059_precipitation_cum_relative_change_2024pr_rcp85_ds</t>
  </si>
  <si>
    <t>out065_number_species_cum_all_2024pr_ds</t>
  </si>
  <si>
    <t>out147_land_use_and_cover_change_2024pr_ds</t>
  </si>
  <si>
    <t>Average</t>
  </si>
  <si>
    <t>closer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</si>
</sst>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14" fillId="33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3128-157E-44BF-8461-FB40A889E83D}">
  <dimension ref="A1:AF16"/>
  <sheetViews>
    <sheetView zoomScale="85" zoomScaleNormal="85" workbookViewId="0">
      <selection activeCell="B16" sqref="B16:G16"/>
    </sheetView>
  </sheetViews>
  <sheetFormatPr defaultRowHeight="14.5" x14ac:dyDescent="0.35"/>
  <cols>
    <col min="1" max="1" width="9.81640625" bestFit="1" customWidth="1"/>
    <col min="2" max="2" width="16.08984375" bestFit="1" customWidth="1"/>
    <col min="3" max="3" width="78.1796875" customWidth="1"/>
    <col min="4" max="4" width="16.08984375" customWidth="1"/>
    <col min="5" max="5" width="35.453125" customWidth="1"/>
    <col min="6" max="7" width="21.08984375" customWidth="1"/>
    <col min="8" max="8" width="44.7265625" bestFit="1" customWidth="1"/>
    <col min="10" max="10" width="15.1796875" customWidth="1"/>
    <col min="12" max="12" width="11.90625" customWidth="1"/>
    <col min="14" max="14" width="11.54296875" customWidth="1"/>
    <col min="16" max="16" width="15" customWidth="1"/>
  </cols>
  <sheetData>
    <row r="1" spans="1:32" x14ac:dyDescent="0.35">
      <c r="A1" t="s">
        <v>0</v>
      </c>
      <c r="B1" t="s">
        <v>30</v>
      </c>
      <c r="C1" t="s">
        <v>29</v>
      </c>
      <c r="D1" t="s">
        <v>46</v>
      </c>
      <c r="E1" t="s">
        <v>66</v>
      </c>
      <c r="F1" t="s">
        <v>67</v>
      </c>
      <c r="G1" t="s">
        <v>70</v>
      </c>
      <c r="H1" t="s">
        <v>1</v>
      </c>
      <c r="I1" t="s">
        <v>2</v>
      </c>
      <c r="J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28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</row>
    <row r="2" spans="1:32" x14ac:dyDescent="0.35">
      <c r="A2">
        <v>1</v>
      </c>
      <c r="B2" t="s">
        <v>34</v>
      </c>
      <c r="C2" t="s">
        <v>47</v>
      </c>
      <c r="D2" t="s">
        <v>48</v>
      </c>
      <c r="H2" s="2">
        <v>-2.8192317887182301E-2</v>
      </c>
      <c r="I2" t="s">
        <v>24</v>
      </c>
      <c r="J2" s="1">
        <v>-0.67534272638558202</v>
      </c>
      <c r="K2" t="s">
        <v>25</v>
      </c>
      <c r="L2">
        <v>0</v>
      </c>
      <c r="M2" t="s">
        <v>25</v>
      </c>
      <c r="N2">
        <v>0.15151515151515199</v>
      </c>
      <c r="O2" t="s">
        <v>24</v>
      </c>
      <c r="P2">
        <v>3.7296037296037303E-2</v>
      </c>
      <c r="Q2" t="s">
        <v>24</v>
      </c>
      <c r="R2">
        <v>1.1655011655011699E-2</v>
      </c>
      <c r="S2" t="s">
        <v>24</v>
      </c>
      <c r="T2">
        <v>-0.29201540519786601</v>
      </c>
      <c r="U2" t="s">
        <v>26</v>
      </c>
      <c r="V2">
        <v>-0.237101163010392</v>
      </c>
      <c r="W2" t="s">
        <v>25</v>
      </c>
      <c r="X2">
        <v>-1.5906860968540399</v>
      </c>
      <c r="Y2" t="s">
        <v>26</v>
      </c>
      <c r="Z2">
        <v>2.0904347266301002</v>
      </c>
      <c r="AA2" t="s">
        <v>24</v>
      </c>
      <c r="AB2">
        <v>-1.2447936570865401</v>
      </c>
      <c r="AC2" t="s">
        <v>26</v>
      </c>
      <c r="AD2">
        <v>0</v>
      </c>
      <c r="AE2" t="s">
        <v>25</v>
      </c>
      <c r="AF2" t="s">
        <v>27</v>
      </c>
    </row>
    <row r="3" spans="1:32" x14ac:dyDescent="0.35">
      <c r="A3">
        <v>2</v>
      </c>
      <c r="B3" t="s">
        <v>32</v>
      </c>
      <c r="C3" t="s">
        <v>49</v>
      </c>
      <c r="D3" t="s">
        <v>48</v>
      </c>
      <c r="F3" t="s">
        <v>48</v>
      </c>
      <c r="H3" s="2">
        <v>-2.4088936343585401E-2</v>
      </c>
      <c r="I3" t="s">
        <v>24</v>
      </c>
      <c r="J3" s="1">
        <v>-0.54325047167867901</v>
      </c>
      <c r="K3" t="s">
        <v>25</v>
      </c>
      <c r="L3">
        <v>0</v>
      </c>
      <c r="M3" t="s">
        <v>25</v>
      </c>
      <c r="N3">
        <v>0.51822323462414599</v>
      </c>
      <c r="O3" t="s">
        <v>24</v>
      </c>
      <c r="P3">
        <v>-6.8337129840546698E-3</v>
      </c>
      <c r="Q3" t="s">
        <v>26</v>
      </c>
      <c r="R3">
        <v>3.4168564920273301E-3</v>
      </c>
      <c r="S3" t="s">
        <v>24</v>
      </c>
      <c r="T3">
        <v>2.3649553556177798</v>
      </c>
      <c r="U3" t="s">
        <v>24</v>
      </c>
      <c r="V3">
        <v>0.53041767020298802</v>
      </c>
      <c r="W3" t="s">
        <v>24</v>
      </c>
      <c r="X3">
        <v>0.80136304416759396</v>
      </c>
      <c r="Y3" t="s">
        <v>24</v>
      </c>
      <c r="Z3">
        <v>-0.77505423892959302</v>
      </c>
      <c r="AA3" t="s">
        <v>26</v>
      </c>
      <c r="AB3">
        <v>-0.20375684300201199</v>
      </c>
      <c r="AC3" t="s">
        <v>26</v>
      </c>
      <c r="AD3">
        <v>0</v>
      </c>
      <c r="AE3" t="s">
        <v>25</v>
      </c>
      <c r="AF3" t="s">
        <v>27</v>
      </c>
    </row>
    <row r="4" spans="1:32" x14ac:dyDescent="0.35">
      <c r="A4">
        <v>3</v>
      </c>
      <c r="B4" t="s">
        <v>44</v>
      </c>
      <c r="C4" t="s">
        <v>51</v>
      </c>
      <c r="D4" t="s">
        <v>50</v>
      </c>
      <c r="E4" t="s">
        <v>64</v>
      </c>
      <c r="F4" t="s">
        <v>48</v>
      </c>
      <c r="H4" s="2">
        <v>-2.5321416411370399E-2</v>
      </c>
      <c r="I4" t="s">
        <v>24</v>
      </c>
      <c r="J4" s="1">
        <v>0.15827933904548599</v>
      </c>
      <c r="K4" t="s">
        <v>25</v>
      </c>
      <c r="L4">
        <v>0</v>
      </c>
      <c r="M4" t="s">
        <v>25</v>
      </c>
      <c r="N4">
        <v>0.21835883171070899</v>
      </c>
      <c r="O4" t="s">
        <v>24</v>
      </c>
      <c r="P4">
        <v>-9.7357440890125199E-2</v>
      </c>
      <c r="Q4" t="s">
        <v>26</v>
      </c>
      <c r="R4">
        <v>1.8080667593880401E-2</v>
      </c>
      <c r="S4" t="s">
        <v>24</v>
      </c>
      <c r="T4">
        <v>0.81831061085857504</v>
      </c>
      <c r="U4" t="s">
        <v>24</v>
      </c>
      <c r="V4">
        <v>1.2038294829520501E-2</v>
      </c>
      <c r="W4" t="s">
        <v>25</v>
      </c>
      <c r="X4">
        <v>0.74103908841480304</v>
      </c>
      <c r="Y4" t="s">
        <v>24</v>
      </c>
      <c r="Z4">
        <v>-1.0865624301402901</v>
      </c>
      <c r="AA4" t="s">
        <v>26</v>
      </c>
      <c r="AB4">
        <v>-1.78517078836904</v>
      </c>
      <c r="AC4" t="s">
        <v>26</v>
      </c>
      <c r="AD4">
        <v>2.7816411682892901E-3</v>
      </c>
      <c r="AE4" t="s">
        <v>24</v>
      </c>
      <c r="AF4" t="s">
        <v>27</v>
      </c>
    </row>
    <row r="5" spans="1:32" x14ac:dyDescent="0.35">
      <c r="A5">
        <v>6</v>
      </c>
      <c r="B5" t="s">
        <v>42</v>
      </c>
      <c r="C5" t="s">
        <v>52</v>
      </c>
      <c r="D5" t="s">
        <v>53</v>
      </c>
      <c r="E5" t="s">
        <v>64</v>
      </c>
      <c r="F5" t="s">
        <v>53</v>
      </c>
      <c r="H5" s="2">
        <v>-3.4892140907214202E-2</v>
      </c>
      <c r="I5" t="s">
        <v>24</v>
      </c>
      <c r="J5" s="1">
        <v>-0.74093348426746397</v>
      </c>
      <c r="K5" t="s">
        <v>25</v>
      </c>
      <c r="L5">
        <v>0</v>
      </c>
      <c r="M5" t="s">
        <v>25</v>
      </c>
      <c r="N5">
        <v>0.41788046207935697</v>
      </c>
      <c r="O5" t="s">
        <v>24</v>
      </c>
      <c r="P5">
        <v>9.9949773982923207E-2</v>
      </c>
      <c r="Q5" t="s">
        <v>24</v>
      </c>
      <c r="R5">
        <v>1.6072325464590701E-2</v>
      </c>
      <c r="S5" t="s">
        <v>24</v>
      </c>
      <c r="T5">
        <v>0.65378169235518402</v>
      </c>
      <c r="U5" t="s">
        <v>24</v>
      </c>
      <c r="V5">
        <v>0.83031621473697903</v>
      </c>
      <c r="W5" t="s">
        <v>24</v>
      </c>
      <c r="X5">
        <v>0.63935730701748195</v>
      </c>
      <c r="Y5" t="s">
        <v>25</v>
      </c>
      <c r="Z5">
        <v>-0.39180674773007201</v>
      </c>
      <c r="AA5" t="s">
        <v>26</v>
      </c>
      <c r="AB5">
        <v>0.47862963767229999</v>
      </c>
      <c r="AC5" t="s">
        <v>25</v>
      </c>
      <c r="AD5">
        <v>1.0045203415369199E-3</v>
      </c>
      <c r="AE5" t="s">
        <v>24</v>
      </c>
      <c r="AF5" t="s">
        <v>27</v>
      </c>
    </row>
    <row r="6" spans="1:32" x14ac:dyDescent="0.35">
      <c r="A6">
        <v>7</v>
      </c>
      <c r="B6" t="s">
        <v>43</v>
      </c>
      <c r="C6" t="s">
        <v>54</v>
      </c>
      <c r="D6" t="s">
        <v>50</v>
      </c>
      <c r="F6" t="s">
        <v>48</v>
      </c>
      <c r="G6" t="s">
        <v>50</v>
      </c>
      <c r="H6" s="2">
        <v>-2.54014423063436E-2</v>
      </c>
      <c r="I6" t="s">
        <v>24</v>
      </c>
      <c r="J6" s="1">
        <v>-0.70457104175499496</v>
      </c>
      <c r="K6" t="s">
        <v>25</v>
      </c>
      <c r="L6">
        <v>6.8380743982494503E-3</v>
      </c>
      <c r="M6" t="s">
        <v>24</v>
      </c>
      <c r="N6">
        <v>2.8172866520787699E-2</v>
      </c>
      <c r="O6" t="s">
        <v>24</v>
      </c>
      <c r="P6">
        <v>-2.8993435448577701E-2</v>
      </c>
      <c r="Q6" t="s">
        <v>26</v>
      </c>
      <c r="R6">
        <v>4.7866520787746197E-2</v>
      </c>
      <c r="S6" t="s">
        <v>24</v>
      </c>
      <c r="T6">
        <v>-1.1352224240717701</v>
      </c>
      <c r="U6" t="s">
        <v>26</v>
      </c>
      <c r="V6">
        <v>-0.21123661560446699</v>
      </c>
      <c r="W6" t="s">
        <v>25</v>
      </c>
      <c r="X6">
        <v>0.65835429181364402</v>
      </c>
      <c r="Y6" t="s">
        <v>25</v>
      </c>
      <c r="Z6">
        <v>-1.1674277289661501</v>
      </c>
      <c r="AA6" t="s">
        <v>26</v>
      </c>
      <c r="AB6">
        <v>6.09934972776029E-2</v>
      </c>
      <c r="AC6" t="s">
        <v>26</v>
      </c>
      <c r="AD6">
        <v>1.09409190371991E-3</v>
      </c>
      <c r="AE6" t="s">
        <v>24</v>
      </c>
      <c r="AF6" t="s">
        <v>27</v>
      </c>
    </row>
    <row r="7" spans="1:32" x14ac:dyDescent="0.35">
      <c r="A7">
        <v>8</v>
      </c>
      <c r="B7" t="s">
        <v>41</v>
      </c>
      <c r="C7" t="s">
        <v>55</v>
      </c>
      <c r="D7" t="s">
        <v>53</v>
      </c>
      <c r="E7" t="s">
        <v>65</v>
      </c>
      <c r="G7" t="s">
        <v>53</v>
      </c>
      <c r="H7" s="2">
        <v>-3.7001044037006298E-2</v>
      </c>
      <c r="I7" t="s">
        <v>25</v>
      </c>
      <c r="J7" s="1">
        <v>-0.736445988879324</v>
      </c>
      <c r="K7" t="s">
        <v>25</v>
      </c>
      <c r="L7">
        <v>0</v>
      </c>
      <c r="M7" t="s">
        <v>25</v>
      </c>
      <c r="N7">
        <v>0.16923076923076899</v>
      </c>
      <c r="O7" t="s">
        <v>24</v>
      </c>
      <c r="P7">
        <v>0.149450549450549</v>
      </c>
      <c r="Q7" t="s">
        <v>24</v>
      </c>
      <c r="R7">
        <v>4.7032967032966999E-2</v>
      </c>
      <c r="S7" t="s">
        <v>24</v>
      </c>
      <c r="T7">
        <v>-0.57426616728158997</v>
      </c>
      <c r="U7" t="s">
        <v>26</v>
      </c>
      <c r="V7">
        <v>0.83158278886964898</v>
      </c>
      <c r="W7" t="s">
        <v>24</v>
      </c>
      <c r="X7">
        <v>0.65167074857595497</v>
      </c>
      <c r="Y7" t="s">
        <v>25</v>
      </c>
      <c r="Z7">
        <v>-0.40552623185831199</v>
      </c>
      <c r="AA7" t="s">
        <v>26</v>
      </c>
      <c r="AB7">
        <v>-0.165924750861805</v>
      </c>
      <c r="AC7" t="s">
        <v>26</v>
      </c>
      <c r="AD7">
        <v>7.4725274725274699E-3</v>
      </c>
      <c r="AE7" t="s">
        <v>24</v>
      </c>
      <c r="AF7" t="s">
        <v>27</v>
      </c>
    </row>
    <row r="8" spans="1:32" x14ac:dyDescent="0.35">
      <c r="A8">
        <v>9</v>
      </c>
      <c r="B8" t="s">
        <v>39</v>
      </c>
      <c r="C8" t="s">
        <v>56</v>
      </c>
      <c r="D8" t="s">
        <v>50</v>
      </c>
      <c r="H8" s="2">
        <v>-3.11069699220505E-2</v>
      </c>
      <c r="I8" t="s">
        <v>24</v>
      </c>
      <c r="J8" s="1">
        <v>-0.73632632431154099</v>
      </c>
      <c r="K8" t="s">
        <v>25</v>
      </c>
      <c r="L8">
        <v>0</v>
      </c>
      <c r="M8" t="s">
        <v>25</v>
      </c>
      <c r="N8">
        <v>9.1243315508021394E-2</v>
      </c>
      <c r="O8" t="s">
        <v>24</v>
      </c>
      <c r="P8">
        <v>5.7820855614973299E-2</v>
      </c>
      <c r="Q8" t="s">
        <v>24</v>
      </c>
      <c r="R8">
        <v>2.1390374331550801E-2</v>
      </c>
      <c r="S8" t="s">
        <v>24</v>
      </c>
      <c r="T8">
        <v>-0.74787270614798895</v>
      </c>
      <c r="U8" t="s">
        <v>26</v>
      </c>
      <c r="V8">
        <v>0.790272144837876</v>
      </c>
      <c r="W8" t="s">
        <v>24</v>
      </c>
      <c r="X8">
        <v>0.66253655381321996</v>
      </c>
      <c r="Y8" t="s">
        <v>25</v>
      </c>
      <c r="Z8">
        <v>-0.454045886653141</v>
      </c>
      <c r="AA8" t="s">
        <v>26</v>
      </c>
      <c r="AB8">
        <v>1.0737823332288501</v>
      </c>
      <c r="AC8" t="s">
        <v>24</v>
      </c>
      <c r="AD8">
        <v>6.6844919786096296E-4</v>
      </c>
      <c r="AE8" t="s">
        <v>24</v>
      </c>
      <c r="AF8" t="s">
        <v>27</v>
      </c>
    </row>
    <row r="9" spans="1:32" x14ac:dyDescent="0.35">
      <c r="A9">
        <v>11</v>
      </c>
      <c r="B9" t="s">
        <v>31</v>
      </c>
      <c r="C9" t="s">
        <v>57</v>
      </c>
      <c r="D9" t="s">
        <v>50</v>
      </c>
      <c r="E9" t="s">
        <v>65</v>
      </c>
      <c r="G9" t="s">
        <v>50</v>
      </c>
      <c r="H9" s="2">
        <v>-9.4040855296462396E-3</v>
      </c>
      <c r="I9" t="s">
        <v>24</v>
      </c>
      <c r="J9" s="1">
        <v>-0.72570200961925602</v>
      </c>
      <c r="K9" t="s">
        <v>25</v>
      </c>
      <c r="L9">
        <v>1.46056475170399E-3</v>
      </c>
      <c r="M9" t="s">
        <v>24</v>
      </c>
      <c r="N9">
        <v>5.0146056475170397E-2</v>
      </c>
      <c r="O9" t="s">
        <v>24</v>
      </c>
      <c r="P9">
        <v>1.80136319376826E-2</v>
      </c>
      <c r="Q9" t="s">
        <v>24</v>
      </c>
      <c r="R9">
        <v>2.0447906523855901E-2</v>
      </c>
      <c r="S9" t="s">
        <v>24</v>
      </c>
      <c r="T9">
        <v>8.0639178064752307E-2</v>
      </c>
      <c r="U9" t="s">
        <v>25</v>
      </c>
      <c r="V9">
        <v>-0.102463641210313</v>
      </c>
      <c r="W9" t="s">
        <v>25</v>
      </c>
      <c r="X9">
        <v>0.79952343269194204</v>
      </c>
      <c r="Y9" t="s">
        <v>24</v>
      </c>
      <c r="Z9">
        <v>-1.2312406501829201</v>
      </c>
      <c r="AA9" t="s">
        <v>26</v>
      </c>
      <c r="AB9">
        <v>-6.0991044214185497E-2</v>
      </c>
      <c r="AC9" t="s">
        <v>26</v>
      </c>
      <c r="AD9">
        <v>0</v>
      </c>
      <c r="AE9" t="s">
        <v>25</v>
      </c>
      <c r="AF9" t="s">
        <v>27</v>
      </c>
    </row>
    <row r="10" spans="1:32" x14ac:dyDescent="0.35">
      <c r="A10">
        <v>13</v>
      </c>
      <c r="B10" t="s">
        <v>45</v>
      </c>
      <c r="C10" t="s">
        <v>58</v>
      </c>
      <c r="D10" t="s">
        <v>50</v>
      </c>
      <c r="E10" t="s">
        <v>65</v>
      </c>
      <c r="G10" t="s">
        <v>50</v>
      </c>
      <c r="H10" s="2">
        <v>-2.6511925010758601E-2</v>
      </c>
      <c r="I10" t="s">
        <v>24</v>
      </c>
      <c r="J10" s="1">
        <v>-0.68365213968431704</v>
      </c>
      <c r="K10" t="s">
        <v>25</v>
      </c>
      <c r="L10">
        <v>0</v>
      </c>
      <c r="M10" t="s">
        <v>25</v>
      </c>
      <c r="N10">
        <v>0.28766086298258903</v>
      </c>
      <c r="O10" t="s">
        <v>24</v>
      </c>
      <c r="P10">
        <v>-6.8887206661620001E-2</v>
      </c>
      <c r="Q10" t="s">
        <v>26</v>
      </c>
      <c r="R10">
        <v>3.5579106737320197E-2</v>
      </c>
      <c r="S10" t="s">
        <v>24</v>
      </c>
      <c r="T10">
        <v>-0.35180583535633098</v>
      </c>
      <c r="U10" t="s">
        <v>26</v>
      </c>
      <c r="V10">
        <v>1.2401488185023899</v>
      </c>
      <c r="W10" t="s">
        <v>24</v>
      </c>
      <c r="X10">
        <v>1.0186357519123199</v>
      </c>
      <c r="Y10" t="s">
        <v>24</v>
      </c>
      <c r="Z10">
        <v>-0.43584020587236499</v>
      </c>
      <c r="AA10" t="s">
        <v>26</v>
      </c>
      <c r="AB10">
        <v>-1.89026607995711</v>
      </c>
      <c r="AC10" t="s">
        <v>26</v>
      </c>
      <c r="AD10">
        <v>2.2710068130204399E-3</v>
      </c>
      <c r="AE10" t="s">
        <v>24</v>
      </c>
      <c r="AF10" t="s">
        <v>27</v>
      </c>
    </row>
    <row r="11" spans="1:32" x14ac:dyDescent="0.35">
      <c r="A11">
        <v>14</v>
      </c>
      <c r="B11" t="s">
        <v>33</v>
      </c>
      <c r="C11" t="s">
        <v>59</v>
      </c>
      <c r="D11" t="s">
        <v>50</v>
      </c>
      <c r="E11" t="s">
        <v>68</v>
      </c>
      <c r="H11" s="2">
        <v>-3.7001044037006298E-2</v>
      </c>
      <c r="I11" t="s">
        <v>25</v>
      </c>
      <c r="J11" s="1">
        <v>1.3196607378031699</v>
      </c>
      <c r="K11" t="s">
        <v>24</v>
      </c>
      <c r="L11">
        <v>1.7615325333039699E-3</v>
      </c>
      <c r="M11" t="s">
        <v>24</v>
      </c>
      <c r="N11">
        <v>3.9634481999339397E-3</v>
      </c>
      <c r="O11" t="s">
        <v>24</v>
      </c>
      <c r="P11">
        <v>1.10095783331498E-2</v>
      </c>
      <c r="Q11" t="s">
        <v>24</v>
      </c>
      <c r="R11">
        <v>1.9817240999669698E-3</v>
      </c>
      <c r="S11" t="s">
        <v>24</v>
      </c>
      <c r="T11">
        <v>-3.8249412895483302E-4</v>
      </c>
      <c r="U11" t="s">
        <v>25</v>
      </c>
      <c r="V11">
        <v>-1.39125003838381</v>
      </c>
      <c r="W11" t="s">
        <v>26</v>
      </c>
      <c r="X11">
        <v>-1.0215798091065</v>
      </c>
      <c r="Y11" t="s">
        <v>26</v>
      </c>
      <c r="Z11">
        <v>0.56577153165796801</v>
      </c>
      <c r="AA11" t="s">
        <v>25</v>
      </c>
      <c r="AB11">
        <v>-0.40900734055557803</v>
      </c>
      <c r="AC11" t="s">
        <v>26</v>
      </c>
      <c r="AD11">
        <v>0</v>
      </c>
      <c r="AE11" t="s">
        <v>25</v>
      </c>
      <c r="AF11" t="s">
        <v>27</v>
      </c>
    </row>
    <row r="12" spans="1:32" x14ac:dyDescent="0.35">
      <c r="A12">
        <v>15</v>
      </c>
      <c r="B12" t="s">
        <v>36</v>
      </c>
      <c r="C12" t="s">
        <v>60</v>
      </c>
      <c r="D12" t="s">
        <v>50</v>
      </c>
      <c r="E12" t="s">
        <v>64</v>
      </c>
      <c r="F12" t="s">
        <v>50</v>
      </c>
      <c r="H12" s="2">
        <v>-2.67050719139936E-2</v>
      </c>
      <c r="I12" t="s">
        <v>24</v>
      </c>
      <c r="J12" s="1">
        <v>-0.49407259213266103</v>
      </c>
      <c r="K12" t="s">
        <v>25</v>
      </c>
      <c r="L12">
        <v>1.37931034482759E-2</v>
      </c>
      <c r="M12" t="s">
        <v>24</v>
      </c>
      <c r="N12">
        <v>0.90191570881226102</v>
      </c>
      <c r="O12" t="s">
        <v>24</v>
      </c>
      <c r="P12">
        <v>-0.64827586206896504</v>
      </c>
      <c r="Q12" t="s">
        <v>26</v>
      </c>
      <c r="R12">
        <v>1.6858237547892702E-2</v>
      </c>
      <c r="S12" t="s">
        <v>24</v>
      </c>
      <c r="T12">
        <v>-1.24200217344576E-2</v>
      </c>
      <c r="U12" t="s">
        <v>25</v>
      </c>
      <c r="V12">
        <v>-1.18048900976416</v>
      </c>
      <c r="W12" t="s">
        <v>26</v>
      </c>
      <c r="X12">
        <v>-1.15047643216092</v>
      </c>
      <c r="Y12" t="s">
        <v>26</v>
      </c>
      <c r="Z12">
        <v>0.75138296902419999</v>
      </c>
      <c r="AA12" t="s">
        <v>24</v>
      </c>
      <c r="AB12">
        <v>0.66813899736196203</v>
      </c>
      <c r="AC12" t="s">
        <v>24</v>
      </c>
      <c r="AD12">
        <v>3.8314176245210702E-4</v>
      </c>
      <c r="AE12" t="s">
        <v>24</v>
      </c>
      <c r="AF12" t="s">
        <v>27</v>
      </c>
    </row>
    <row r="13" spans="1:32" x14ac:dyDescent="0.35">
      <c r="A13">
        <v>16</v>
      </c>
      <c r="B13" t="s">
        <v>40</v>
      </c>
      <c r="C13" t="s">
        <v>61</v>
      </c>
      <c r="D13" t="s">
        <v>50</v>
      </c>
      <c r="E13" t="s">
        <v>64</v>
      </c>
      <c r="F13" t="s">
        <v>48</v>
      </c>
      <c r="H13" s="2">
        <v>-3.7001044037006298E-2</v>
      </c>
      <c r="I13" t="s">
        <v>25</v>
      </c>
      <c r="J13" s="1">
        <v>-0.47480270633142402</v>
      </c>
      <c r="K13" t="s">
        <v>25</v>
      </c>
      <c r="L13">
        <v>0</v>
      </c>
      <c r="M13" t="s">
        <v>25</v>
      </c>
      <c r="N13">
        <v>0.22062350119904101</v>
      </c>
      <c r="O13" t="s">
        <v>24</v>
      </c>
      <c r="P13">
        <v>-9.5923261390887301E-3</v>
      </c>
      <c r="Q13" t="s">
        <v>26</v>
      </c>
      <c r="R13">
        <v>7.9936051159072697E-4</v>
      </c>
      <c r="S13" t="s">
        <v>24</v>
      </c>
      <c r="T13">
        <v>2.2274468182586</v>
      </c>
      <c r="U13" t="s">
        <v>24</v>
      </c>
      <c r="V13">
        <v>-0.62931880800057105</v>
      </c>
      <c r="W13" t="s">
        <v>26</v>
      </c>
      <c r="X13">
        <v>-1.27993595827424</v>
      </c>
      <c r="Y13" t="s">
        <v>26</v>
      </c>
      <c r="Z13">
        <v>1.35874916558246</v>
      </c>
      <c r="AA13" t="s">
        <v>24</v>
      </c>
      <c r="AB13">
        <v>0.49024698748511403</v>
      </c>
      <c r="AC13" t="s">
        <v>25</v>
      </c>
      <c r="AD13">
        <v>3.9968025579536402E-4</v>
      </c>
      <c r="AE13" t="s">
        <v>24</v>
      </c>
      <c r="AF13" t="s">
        <v>27</v>
      </c>
    </row>
    <row r="14" spans="1:32" x14ac:dyDescent="0.35">
      <c r="A14">
        <v>18</v>
      </c>
      <c r="B14" t="s">
        <v>35</v>
      </c>
      <c r="C14" t="s">
        <v>62</v>
      </c>
      <c r="D14" t="s">
        <v>53</v>
      </c>
      <c r="E14" t="s">
        <v>64</v>
      </c>
      <c r="F14" t="s">
        <v>53</v>
      </c>
      <c r="H14" s="2">
        <v>-3.7001044037006298E-2</v>
      </c>
      <c r="I14" t="s">
        <v>25</v>
      </c>
      <c r="J14" s="1">
        <v>1.32915910402767</v>
      </c>
      <c r="K14" t="s">
        <v>24</v>
      </c>
      <c r="L14">
        <v>1.7882689556509299E-3</v>
      </c>
      <c r="M14" t="s">
        <v>24</v>
      </c>
      <c r="N14">
        <v>1.35908440629471E-2</v>
      </c>
      <c r="O14" t="s">
        <v>24</v>
      </c>
      <c r="P14">
        <v>1.3233190271816899E-2</v>
      </c>
      <c r="Q14" t="s">
        <v>24</v>
      </c>
      <c r="R14">
        <v>7.8683834048640898E-3</v>
      </c>
      <c r="S14" t="s">
        <v>24</v>
      </c>
      <c r="T14">
        <v>0.42424242782319499</v>
      </c>
      <c r="U14" t="s">
        <v>24</v>
      </c>
      <c r="V14">
        <v>-0.13199626667871101</v>
      </c>
      <c r="W14" t="s">
        <v>25</v>
      </c>
      <c r="X14">
        <v>0.60702990271036505</v>
      </c>
      <c r="Y14" t="s">
        <v>25</v>
      </c>
      <c r="Z14">
        <v>-1.05950131204041</v>
      </c>
      <c r="AA14" t="s">
        <v>26</v>
      </c>
      <c r="AB14">
        <v>0.31949740038311403</v>
      </c>
      <c r="AC14" t="s">
        <v>25</v>
      </c>
      <c r="AD14">
        <v>0</v>
      </c>
      <c r="AE14" t="s">
        <v>25</v>
      </c>
      <c r="AF14" t="s">
        <v>27</v>
      </c>
    </row>
    <row r="15" spans="1:32" x14ac:dyDescent="0.35">
      <c r="A15">
        <v>19</v>
      </c>
      <c r="B15" t="s">
        <v>37</v>
      </c>
      <c r="C15" t="s">
        <v>69</v>
      </c>
      <c r="D15" t="s">
        <v>53</v>
      </c>
      <c r="E15" t="s">
        <v>64</v>
      </c>
      <c r="F15" t="s">
        <v>53</v>
      </c>
      <c r="H15" s="2">
        <v>-3.7001044037006298E-2</v>
      </c>
      <c r="I15" t="s">
        <v>25</v>
      </c>
      <c r="J15" s="1">
        <v>-0.71871150757509605</v>
      </c>
      <c r="K15" t="s">
        <v>25</v>
      </c>
      <c r="L15">
        <v>4.6260601387817998E-3</v>
      </c>
      <c r="M15" t="s">
        <v>24</v>
      </c>
      <c r="N15">
        <v>6.2837316885119496E-2</v>
      </c>
      <c r="O15" t="s">
        <v>24</v>
      </c>
      <c r="P15">
        <v>0.12875867386275999</v>
      </c>
      <c r="Q15" t="s">
        <v>24</v>
      </c>
      <c r="R15">
        <v>5.3970701619121004E-3</v>
      </c>
      <c r="S15" t="s">
        <v>24</v>
      </c>
      <c r="T15">
        <v>0.54164810054693202</v>
      </c>
      <c r="U15" t="s">
        <v>24</v>
      </c>
      <c r="V15">
        <v>-1.02516735231328</v>
      </c>
      <c r="W15" t="s">
        <v>26</v>
      </c>
      <c r="X15">
        <v>-1.0495094962670599</v>
      </c>
      <c r="Y15" t="s">
        <v>26</v>
      </c>
      <c r="Z15">
        <v>0.72772834290320298</v>
      </c>
      <c r="AA15" t="s">
        <v>24</v>
      </c>
      <c r="AB15">
        <v>0.72487463657864903</v>
      </c>
      <c r="AC15" t="s">
        <v>24</v>
      </c>
      <c r="AD15">
        <v>0</v>
      </c>
      <c r="AE15" t="s">
        <v>25</v>
      </c>
      <c r="AF15" t="s">
        <v>27</v>
      </c>
    </row>
    <row r="16" spans="1:32" x14ac:dyDescent="0.35">
      <c r="A16">
        <v>21</v>
      </c>
      <c r="B16" t="s">
        <v>38</v>
      </c>
      <c r="C16" t="s">
        <v>63</v>
      </c>
      <c r="D16" t="s">
        <v>50</v>
      </c>
      <c r="E16" t="s">
        <v>64</v>
      </c>
      <c r="F16" t="s">
        <v>50</v>
      </c>
      <c r="H16" s="2">
        <v>-3.3745524532693499E-2</v>
      </c>
      <c r="I16" t="s">
        <v>24</v>
      </c>
      <c r="J16" s="1">
        <v>-0.67230666118642701</v>
      </c>
      <c r="K16" t="s">
        <v>25</v>
      </c>
      <c r="L16">
        <v>1.5695915279879E-2</v>
      </c>
      <c r="M16" t="s">
        <v>24</v>
      </c>
      <c r="N16">
        <v>1.8532526475037801E-2</v>
      </c>
      <c r="O16" t="s">
        <v>24</v>
      </c>
      <c r="P16">
        <v>3.6875945537065101E-2</v>
      </c>
      <c r="Q16" t="s">
        <v>24</v>
      </c>
      <c r="R16">
        <v>3.0635400907715601E-2</v>
      </c>
      <c r="S16" t="s">
        <v>24</v>
      </c>
      <c r="T16">
        <v>-0.79576800368650402</v>
      </c>
      <c r="U16" t="s">
        <v>26</v>
      </c>
      <c r="V16">
        <v>-1.1517644403110401</v>
      </c>
      <c r="W16" t="s">
        <v>26</v>
      </c>
      <c r="X16">
        <v>-1.09785179903622</v>
      </c>
      <c r="Y16" t="s">
        <v>26</v>
      </c>
      <c r="Z16">
        <v>0.71902832768298897</v>
      </c>
      <c r="AA16" t="s">
        <v>24</v>
      </c>
      <c r="AB16">
        <v>0.72602907515762505</v>
      </c>
      <c r="AC16" t="s">
        <v>24</v>
      </c>
      <c r="AD16">
        <v>3.7821482602117998E-4</v>
      </c>
      <c r="AE16" t="s">
        <v>24</v>
      </c>
      <c r="AF16" t="s">
        <v>27</v>
      </c>
    </row>
  </sheetData>
  <autoFilter ref="A1:AF16" xr:uid="{6FE13128-157E-44BF-8461-FB40A889E83D}">
    <sortState xmlns:xlrd2="http://schemas.microsoft.com/office/spreadsheetml/2017/richdata2" ref="A2:AF16">
      <sortCondition ref="A1:A16"/>
    </sortState>
  </autoFilter>
  <sortState xmlns:xlrd2="http://schemas.microsoft.com/office/spreadsheetml/2017/richdata2" ref="A1:AF16">
    <sortCondition descending="1" ref="AD1:A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CA49-E212-4387-8F38-D8F3AAFD7014}">
  <dimension ref="A1:AF41"/>
  <sheetViews>
    <sheetView workbookViewId="0">
      <selection activeCell="AC28" sqref="AC28"/>
    </sheetView>
  </sheetViews>
  <sheetFormatPr defaultRowHeight="14.5" x14ac:dyDescent="0.35"/>
  <cols>
    <col min="1" max="1" width="12.08984375" bestFit="1" customWidth="1"/>
    <col min="2" max="2" width="20.36328125" customWidth="1"/>
    <col min="3" max="3" width="168.54296875" bestFit="1" customWidth="1"/>
    <col min="5" max="5" width="19.36328125" bestFit="1" customWidth="1"/>
    <col min="6" max="6" width="15.26953125" bestFit="1" customWidth="1"/>
    <col min="7" max="7" width="16.1796875" bestFit="1" customWidth="1"/>
  </cols>
  <sheetData>
    <row r="1" spans="1:32" x14ac:dyDescent="0.35">
      <c r="A1" t="s">
        <v>0</v>
      </c>
      <c r="B1" t="s">
        <v>128</v>
      </c>
      <c r="C1" t="s">
        <v>29</v>
      </c>
      <c r="D1" t="s">
        <v>46</v>
      </c>
      <c r="E1" t="s">
        <v>66</v>
      </c>
      <c r="F1" t="s">
        <v>129</v>
      </c>
      <c r="G1" t="s">
        <v>70</v>
      </c>
      <c r="H1" t="s">
        <v>1</v>
      </c>
      <c r="I1" t="s">
        <v>2</v>
      </c>
      <c r="J1" t="s">
        <v>3</v>
      </c>
      <c r="K1" t="s">
        <v>71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72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131</v>
      </c>
    </row>
    <row r="2" spans="1:32" x14ac:dyDescent="0.35">
      <c r="A2">
        <v>1</v>
      </c>
      <c r="B2" t="s">
        <v>98</v>
      </c>
      <c r="C2" t="s">
        <v>99</v>
      </c>
      <c r="D2" t="s">
        <v>48</v>
      </c>
      <c r="H2">
        <v>-2.8192317887182301E-2</v>
      </c>
      <c r="I2" t="s">
        <v>24</v>
      </c>
      <c r="J2">
        <v>-0.67534272638558202</v>
      </c>
      <c r="K2" t="s">
        <v>25</v>
      </c>
      <c r="L2">
        <v>0</v>
      </c>
      <c r="M2" t="s">
        <v>25</v>
      </c>
      <c r="N2">
        <v>0.15151515151515199</v>
      </c>
      <c r="O2" t="s">
        <v>24</v>
      </c>
      <c r="P2">
        <v>3.7296037296037303E-2</v>
      </c>
      <c r="Q2" t="s">
        <v>24</v>
      </c>
      <c r="R2">
        <v>1.1655011655011699E-2</v>
      </c>
      <c r="S2" t="s">
        <v>24</v>
      </c>
      <c r="T2">
        <v>-0.29201540519786601</v>
      </c>
      <c r="U2" t="s">
        <v>26</v>
      </c>
      <c r="V2">
        <v>-0.237101163010392</v>
      </c>
      <c r="W2" t="s">
        <v>25</v>
      </c>
      <c r="X2">
        <v>-1.5906860968540399</v>
      </c>
      <c r="Y2" t="s">
        <v>26</v>
      </c>
      <c r="Z2">
        <v>2.0904347266301002</v>
      </c>
      <c r="AA2" t="s">
        <v>24</v>
      </c>
      <c r="AB2">
        <v>-1.2447936570865401</v>
      </c>
      <c r="AC2" t="s">
        <v>26</v>
      </c>
      <c r="AD2">
        <v>0</v>
      </c>
      <c r="AE2" t="s">
        <v>25</v>
      </c>
      <c r="AF2" t="s">
        <v>132</v>
      </c>
    </row>
    <row r="3" spans="1:32" x14ac:dyDescent="0.35">
      <c r="A3">
        <v>2</v>
      </c>
      <c r="B3" t="s">
        <v>100</v>
      </c>
      <c r="C3" t="s">
        <v>101</v>
      </c>
      <c r="D3" t="s">
        <v>48</v>
      </c>
      <c r="F3" t="s">
        <v>48</v>
      </c>
      <c r="H3">
        <v>-2.4088936343585401E-2</v>
      </c>
      <c r="I3" t="s">
        <v>24</v>
      </c>
      <c r="J3">
        <v>-0.54325047167867901</v>
      </c>
      <c r="K3" t="s">
        <v>25</v>
      </c>
      <c r="L3">
        <v>0</v>
      </c>
      <c r="M3" t="s">
        <v>25</v>
      </c>
      <c r="N3">
        <v>0.51822323462414599</v>
      </c>
      <c r="O3" t="s">
        <v>24</v>
      </c>
      <c r="P3">
        <v>-6.8337129840546698E-3</v>
      </c>
      <c r="Q3" t="s">
        <v>26</v>
      </c>
      <c r="R3">
        <v>3.4168564920273301E-3</v>
      </c>
      <c r="S3" t="s">
        <v>24</v>
      </c>
      <c r="T3">
        <v>2.3649553556177798</v>
      </c>
      <c r="U3" t="s">
        <v>24</v>
      </c>
      <c r="V3">
        <v>0.53041767020298802</v>
      </c>
      <c r="W3" t="s">
        <v>24</v>
      </c>
      <c r="X3">
        <v>0.80136304416759396</v>
      </c>
      <c r="Y3" t="s">
        <v>24</v>
      </c>
      <c r="Z3">
        <v>-0.77505423892959302</v>
      </c>
      <c r="AA3" t="s">
        <v>26</v>
      </c>
      <c r="AB3">
        <v>-0.20375684300201199</v>
      </c>
      <c r="AC3" t="s">
        <v>26</v>
      </c>
      <c r="AD3">
        <v>0</v>
      </c>
      <c r="AE3" t="s">
        <v>25</v>
      </c>
      <c r="AF3" t="s">
        <v>132</v>
      </c>
    </row>
    <row r="4" spans="1:32" x14ac:dyDescent="0.35">
      <c r="A4">
        <v>3</v>
      </c>
      <c r="B4" t="s">
        <v>102</v>
      </c>
      <c r="C4" s="4" t="s">
        <v>103</v>
      </c>
      <c r="D4" t="s">
        <v>50</v>
      </c>
      <c r="E4" t="s">
        <v>64</v>
      </c>
      <c r="F4" t="s">
        <v>48</v>
      </c>
      <c r="H4" s="3">
        <v>-2.5321416411370399E-2</v>
      </c>
      <c r="I4" t="s">
        <v>24</v>
      </c>
      <c r="J4">
        <v>0.15827933904548599</v>
      </c>
      <c r="K4" t="s">
        <v>25</v>
      </c>
      <c r="L4">
        <v>0</v>
      </c>
      <c r="M4" t="s">
        <v>25</v>
      </c>
      <c r="N4">
        <v>0.21835883171070899</v>
      </c>
      <c r="O4" t="s">
        <v>24</v>
      </c>
      <c r="P4">
        <v>-9.7357440890125199E-2</v>
      </c>
      <c r="Q4" t="s">
        <v>26</v>
      </c>
      <c r="R4">
        <v>1.8080667593880401E-2</v>
      </c>
      <c r="S4" t="s">
        <v>24</v>
      </c>
      <c r="T4">
        <v>0.81831061085857504</v>
      </c>
      <c r="U4" t="s">
        <v>24</v>
      </c>
      <c r="V4">
        <v>1.2038294829520501E-2</v>
      </c>
      <c r="W4" t="s">
        <v>25</v>
      </c>
      <c r="X4">
        <v>0.74103908841480304</v>
      </c>
      <c r="Y4" t="s">
        <v>24</v>
      </c>
      <c r="Z4">
        <v>-1.0865624301402901</v>
      </c>
      <c r="AA4" t="s">
        <v>26</v>
      </c>
      <c r="AB4">
        <v>-1.78517078836904</v>
      </c>
      <c r="AC4" t="s">
        <v>26</v>
      </c>
      <c r="AD4">
        <v>2.7816411682892901E-3</v>
      </c>
      <c r="AE4" t="s">
        <v>24</v>
      </c>
      <c r="AF4" t="s">
        <v>132</v>
      </c>
    </row>
    <row r="5" spans="1:32" x14ac:dyDescent="0.35">
      <c r="A5">
        <v>4</v>
      </c>
      <c r="H5">
        <v>-3.4103636700778997E-2</v>
      </c>
      <c r="I5" t="s">
        <v>24</v>
      </c>
      <c r="J5">
        <v>-0.71715289556962603</v>
      </c>
      <c r="K5" t="s">
        <v>25</v>
      </c>
      <c r="L5">
        <v>0</v>
      </c>
      <c r="M5" t="s">
        <v>25</v>
      </c>
      <c r="N5">
        <v>0.91891891891891897</v>
      </c>
      <c r="O5" t="s">
        <v>24</v>
      </c>
      <c r="P5">
        <v>-0.78953421506612997</v>
      </c>
      <c r="Q5" t="s">
        <v>26</v>
      </c>
      <c r="R5">
        <v>1.0350776308223101E-2</v>
      </c>
      <c r="S5" t="s">
        <v>24</v>
      </c>
      <c r="T5">
        <v>7.3651561788909596E-3</v>
      </c>
      <c r="U5" t="s">
        <v>25</v>
      </c>
      <c r="V5">
        <v>0.15911693681064101</v>
      </c>
      <c r="W5" t="s">
        <v>25</v>
      </c>
      <c r="X5">
        <v>0.93374605913884501</v>
      </c>
      <c r="Y5" t="s">
        <v>24</v>
      </c>
      <c r="Z5">
        <v>-1.17882386993635</v>
      </c>
      <c r="AA5" t="s">
        <v>26</v>
      </c>
      <c r="AB5">
        <v>-0.26888694807764801</v>
      </c>
      <c r="AC5" t="s">
        <v>26</v>
      </c>
      <c r="AD5">
        <v>0</v>
      </c>
      <c r="AE5" t="s">
        <v>25</v>
      </c>
      <c r="AF5" t="s">
        <v>133</v>
      </c>
    </row>
    <row r="6" spans="1:32" x14ac:dyDescent="0.35">
      <c r="A6">
        <v>5</v>
      </c>
      <c r="H6">
        <v>-3.7001044037006298E-2</v>
      </c>
      <c r="I6" t="s">
        <v>25</v>
      </c>
      <c r="J6">
        <v>-0.72967465148488198</v>
      </c>
      <c r="K6" t="s">
        <v>25</v>
      </c>
      <c r="L6">
        <v>0</v>
      </c>
      <c r="M6" t="s">
        <v>25</v>
      </c>
      <c r="N6">
        <v>3.7105751391465699E-2</v>
      </c>
      <c r="O6" t="s">
        <v>24</v>
      </c>
      <c r="P6">
        <v>-2.9684601113172501E-2</v>
      </c>
      <c r="Q6" t="s">
        <v>26</v>
      </c>
      <c r="R6">
        <v>4.4526901669758798E-2</v>
      </c>
      <c r="S6" t="s">
        <v>24</v>
      </c>
      <c r="T6">
        <v>-1.18412942637744</v>
      </c>
      <c r="U6" t="s">
        <v>26</v>
      </c>
      <c r="V6">
        <v>-0.24976294703149901</v>
      </c>
      <c r="W6" t="s">
        <v>25</v>
      </c>
      <c r="X6">
        <v>0.55922957710276899</v>
      </c>
      <c r="Y6" t="s">
        <v>25</v>
      </c>
      <c r="Z6">
        <v>-1.08310944064707</v>
      </c>
      <c r="AA6" t="s">
        <v>26</v>
      </c>
      <c r="AB6">
        <v>-2.7972800695285698</v>
      </c>
      <c r="AC6" t="s">
        <v>26</v>
      </c>
      <c r="AD6">
        <v>4.6382189239332098E-3</v>
      </c>
      <c r="AE6" t="s">
        <v>24</v>
      </c>
      <c r="AF6" t="s">
        <v>133</v>
      </c>
    </row>
    <row r="7" spans="1:32" x14ac:dyDescent="0.35">
      <c r="A7">
        <v>6</v>
      </c>
      <c r="B7" t="s">
        <v>104</v>
      </c>
      <c r="C7" t="s">
        <v>105</v>
      </c>
      <c r="D7" t="s">
        <v>53</v>
      </c>
      <c r="E7" t="s">
        <v>64</v>
      </c>
      <c r="F7" t="s">
        <v>53</v>
      </c>
      <c r="H7">
        <v>-3.4892140907214202E-2</v>
      </c>
      <c r="I7" t="s">
        <v>24</v>
      </c>
      <c r="J7">
        <v>-0.74093348426746397</v>
      </c>
      <c r="K7" t="s">
        <v>25</v>
      </c>
      <c r="L7">
        <v>0</v>
      </c>
      <c r="M7" t="s">
        <v>25</v>
      </c>
      <c r="N7">
        <v>0.41788046207935697</v>
      </c>
      <c r="O7" t="s">
        <v>24</v>
      </c>
      <c r="P7">
        <v>9.9949773982923207E-2</v>
      </c>
      <c r="Q7" t="s">
        <v>24</v>
      </c>
      <c r="R7">
        <v>1.6072325464590701E-2</v>
      </c>
      <c r="S7" t="s">
        <v>24</v>
      </c>
      <c r="T7">
        <v>0.65378169235518402</v>
      </c>
      <c r="U7" t="s">
        <v>24</v>
      </c>
      <c r="V7">
        <v>0.83031621473697903</v>
      </c>
      <c r="W7" t="s">
        <v>24</v>
      </c>
      <c r="X7">
        <v>0.63935730701748195</v>
      </c>
      <c r="Y7" t="s">
        <v>25</v>
      </c>
      <c r="Z7">
        <v>-0.39180674773007201</v>
      </c>
      <c r="AA7" t="s">
        <v>26</v>
      </c>
      <c r="AB7">
        <v>0.47862963767229999</v>
      </c>
      <c r="AC7" t="s">
        <v>25</v>
      </c>
      <c r="AD7">
        <v>1.0045203415369199E-3</v>
      </c>
      <c r="AE7" t="s">
        <v>24</v>
      </c>
      <c r="AF7" t="s">
        <v>132</v>
      </c>
    </row>
    <row r="8" spans="1:32" x14ac:dyDescent="0.35">
      <c r="A8">
        <v>7</v>
      </c>
      <c r="B8" t="s">
        <v>107</v>
      </c>
      <c r="C8" t="s">
        <v>108</v>
      </c>
      <c r="D8" t="s">
        <v>50</v>
      </c>
      <c r="F8" t="s">
        <v>48</v>
      </c>
      <c r="G8" t="s">
        <v>50</v>
      </c>
      <c r="H8">
        <v>-2.54014423063436E-2</v>
      </c>
      <c r="I8" t="s">
        <v>24</v>
      </c>
      <c r="J8">
        <v>-0.70457104175499496</v>
      </c>
      <c r="K8" t="s">
        <v>25</v>
      </c>
      <c r="L8">
        <v>6.8380743982494503E-3</v>
      </c>
      <c r="M8" t="s">
        <v>24</v>
      </c>
      <c r="N8">
        <v>2.8172866520787699E-2</v>
      </c>
      <c r="O8" t="s">
        <v>24</v>
      </c>
      <c r="P8">
        <v>-2.8993435448577701E-2</v>
      </c>
      <c r="Q8" t="s">
        <v>26</v>
      </c>
      <c r="R8">
        <v>4.7866520787746197E-2</v>
      </c>
      <c r="S8" t="s">
        <v>24</v>
      </c>
      <c r="T8">
        <v>-1.1352224240717701</v>
      </c>
      <c r="U8" t="s">
        <v>26</v>
      </c>
      <c r="V8">
        <v>-0.21123661560446699</v>
      </c>
      <c r="W8" t="s">
        <v>25</v>
      </c>
      <c r="X8">
        <v>0.65835429181364402</v>
      </c>
      <c r="Y8" t="s">
        <v>25</v>
      </c>
      <c r="Z8">
        <v>-1.1674277289661501</v>
      </c>
      <c r="AA8" t="s">
        <v>26</v>
      </c>
      <c r="AB8">
        <v>6.09934972776029E-2</v>
      </c>
      <c r="AC8" t="s">
        <v>26</v>
      </c>
      <c r="AD8">
        <v>1.09409190371991E-3</v>
      </c>
      <c r="AE8" t="s">
        <v>24</v>
      </c>
      <c r="AF8" t="s">
        <v>132</v>
      </c>
    </row>
    <row r="9" spans="1:32" x14ac:dyDescent="0.35">
      <c r="A9">
        <v>8</v>
      </c>
      <c r="B9" t="s">
        <v>109</v>
      </c>
      <c r="C9" t="s">
        <v>110</v>
      </c>
      <c r="D9" t="s">
        <v>53</v>
      </c>
      <c r="E9" t="s">
        <v>65</v>
      </c>
      <c r="G9" t="s">
        <v>53</v>
      </c>
      <c r="H9">
        <v>-3.7001044037006298E-2</v>
      </c>
      <c r="I9" t="s">
        <v>25</v>
      </c>
      <c r="J9">
        <v>-0.736445988879324</v>
      </c>
      <c r="K9" t="s">
        <v>25</v>
      </c>
      <c r="L9">
        <v>0</v>
      </c>
      <c r="M9" t="s">
        <v>25</v>
      </c>
      <c r="N9">
        <v>0.16923076923076899</v>
      </c>
      <c r="O9" t="s">
        <v>24</v>
      </c>
      <c r="P9">
        <v>0.149450549450549</v>
      </c>
      <c r="Q9" t="s">
        <v>24</v>
      </c>
      <c r="R9">
        <v>4.7032967032966999E-2</v>
      </c>
      <c r="S9" t="s">
        <v>24</v>
      </c>
      <c r="T9">
        <v>-0.57426616728158997</v>
      </c>
      <c r="U9" t="s">
        <v>26</v>
      </c>
      <c r="V9">
        <v>0.83158278886964898</v>
      </c>
      <c r="W9" t="s">
        <v>24</v>
      </c>
      <c r="X9">
        <v>0.65167074857595497</v>
      </c>
      <c r="Y9" t="s">
        <v>25</v>
      </c>
      <c r="Z9">
        <v>-0.40552623185831199</v>
      </c>
      <c r="AA9" t="s">
        <v>26</v>
      </c>
      <c r="AB9">
        <v>-0.165924750861805</v>
      </c>
      <c r="AC9" t="s">
        <v>26</v>
      </c>
      <c r="AD9">
        <v>7.4725274725274699E-3</v>
      </c>
      <c r="AE9" t="s">
        <v>24</v>
      </c>
      <c r="AF9" t="s">
        <v>132</v>
      </c>
    </row>
    <row r="10" spans="1:32" x14ac:dyDescent="0.35">
      <c r="A10">
        <v>9</v>
      </c>
      <c r="B10" t="s">
        <v>111</v>
      </c>
      <c r="C10" t="s">
        <v>112</v>
      </c>
      <c r="D10" t="s">
        <v>50</v>
      </c>
      <c r="H10">
        <v>-3.11069699220505E-2</v>
      </c>
      <c r="I10" t="s">
        <v>24</v>
      </c>
      <c r="J10">
        <v>-0.73632632431154099</v>
      </c>
      <c r="K10" t="s">
        <v>25</v>
      </c>
      <c r="L10">
        <v>0</v>
      </c>
      <c r="M10" t="s">
        <v>25</v>
      </c>
      <c r="N10">
        <v>9.1243315508021394E-2</v>
      </c>
      <c r="O10" t="s">
        <v>24</v>
      </c>
      <c r="P10">
        <v>5.7820855614973299E-2</v>
      </c>
      <c r="Q10" t="s">
        <v>24</v>
      </c>
      <c r="R10">
        <v>2.1390374331550801E-2</v>
      </c>
      <c r="S10" t="s">
        <v>24</v>
      </c>
      <c r="T10">
        <v>-0.74787270614798895</v>
      </c>
      <c r="U10" t="s">
        <v>26</v>
      </c>
      <c r="V10">
        <v>0.790272144837876</v>
      </c>
      <c r="W10" t="s">
        <v>24</v>
      </c>
      <c r="X10">
        <v>0.66253655381321996</v>
      </c>
      <c r="Y10" t="s">
        <v>25</v>
      </c>
      <c r="Z10">
        <v>-0.454045886653141</v>
      </c>
      <c r="AA10" t="s">
        <v>26</v>
      </c>
      <c r="AB10">
        <v>1.0737823332288501</v>
      </c>
      <c r="AC10" t="s">
        <v>24</v>
      </c>
      <c r="AD10">
        <v>6.6844919786096296E-4</v>
      </c>
      <c r="AE10" t="s">
        <v>24</v>
      </c>
      <c r="AF10" t="s">
        <v>132</v>
      </c>
    </row>
    <row r="11" spans="1:32" x14ac:dyDescent="0.35">
      <c r="A11">
        <v>10</v>
      </c>
      <c r="H11">
        <v>-3.7001044037006298E-2</v>
      </c>
      <c r="I11" t="s">
        <v>25</v>
      </c>
      <c r="J11">
        <v>-0.71614093693970204</v>
      </c>
      <c r="K11" t="s">
        <v>25</v>
      </c>
      <c r="L11">
        <v>0</v>
      </c>
      <c r="M11" t="s">
        <v>25</v>
      </c>
      <c r="N11">
        <v>0.24423134551992801</v>
      </c>
      <c r="O11" t="s">
        <v>24</v>
      </c>
      <c r="P11">
        <v>-3.2064728798321798E-2</v>
      </c>
      <c r="Q11" t="s">
        <v>26</v>
      </c>
      <c r="R11">
        <v>1.7980221756068301E-3</v>
      </c>
      <c r="S11" t="s">
        <v>24</v>
      </c>
      <c r="T11">
        <v>-0.18768765001431401</v>
      </c>
      <c r="U11" t="s">
        <v>25</v>
      </c>
      <c r="V11">
        <v>-0.237101163010392</v>
      </c>
      <c r="W11" t="s">
        <v>25</v>
      </c>
      <c r="X11">
        <v>-1.5906860968540399</v>
      </c>
      <c r="Y11" t="s">
        <v>26</v>
      </c>
      <c r="Z11">
        <v>2.0904347266301002</v>
      </c>
      <c r="AA11" t="s">
        <v>24</v>
      </c>
      <c r="AB11">
        <v>0.27857605123195101</v>
      </c>
      <c r="AC11" t="s">
        <v>25</v>
      </c>
      <c r="AD11">
        <v>8.9901108780341603E-4</v>
      </c>
      <c r="AE11" t="s">
        <v>24</v>
      </c>
      <c r="AF11" t="s">
        <v>133</v>
      </c>
    </row>
    <row r="12" spans="1:32" x14ac:dyDescent="0.35">
      <c r="A12">
        <v>11</v>
      </c>
      <c r="B12" t="s">
        <v>113</v>
      </c>
      <c r="C12" t="s">
        <v>120</v>
      </c>
      <c r="D12" t="s">
        <v>50</v>
      </c>
      <c r="E12" t="s">
        <v>65</v>
      </c>
      <c r="G12" t="s">
        <v>50</v>
      </c>
      <c r="H12">
        <v>-9.4040855296462396E-3</v>
      </c>
      <c r="I12" t="s">
        <v>24</v>
      </c>
      <c r="J12">
        <v>-0.72570200961925602</v>
      </c>
      <c r="K12" t="s">
        <v>25</v>
      </c>
      <c r="L12">
        <v>1.46056475170399E-3</v>
      </c>
      <c r="M12" t="s">
        <v>24</v>
      </c>
      <c r="N12">
        <v>5.0146056475170397E-2</v>
      </c>
      <c r="O12" t="s">
        <v>24</v>
      </c>
      <c r="P12">
        <v>1.80136319376826E-2</v>
      </c>
      <c r="Q12" t="s">
        <v>24</v>
      </c>
      <c r="R12">
        <v>2.0447906523855901E-2</v>
      </c>
      <c r="S12" t="s">
        <v>24</v>
      </c>
      <c r="T12">
        <v>8.0639178064752307E-2</v>
      </c>
      <c r="U12" t="s">
        <v>25</v>
      </c>
      <c r="V12">
        <v>-0.102463641210313</v>
      </c>
      <c r="W12" t="s">
        <v>25</v>
      </c>
      <c r="X12">
        <v>0.79952343269194204</v>
      </c>
      <c r="Y12" t="s">
        <v>24</v>
      </c>
      <c r="Z12">
        <v>-1.2312406501829201</v>
      </c>
      <c r="AA12" t="s">
        <v>26</v>
      </c>
      <c r="AB12">
        <v>-6.0991044214185497E-2</v>
      </c>
      <c r="AC12" t="s">
        <v>26</v>
      </c>
      <c r="AD12">
        <v>0</v>
      </c>
      <c r="AE12" t="s">
        <v>25</v>
      </c>
      <c r="AF12" t="s">
        <v>132</v>
      </c>
    </row>
    <row r="13" spans="1:32" x14ac:dyDescent="0.35">
      <c r="A13">
        <v>12</v>
      </c>
      <c r="H13">
        <v>26.1050054864921</v>
      </c>
      <c r="I13" t="s">
        <v>24</v>
      </c>
      <c r="J13">
        <v>-0.72411332932408001</v>
      </c>
      <c r="K13" t="s">
        <v>25</v>
      </c>
      <c r="L13">
        <v>0</v>
      </c>
      <c r="M13" t="s">
        <v>25</v>
      </c>
      <c r="N13">
        <v>4.1095890410958902E-2</v>
      </c>
      <c r="O13" t="s">
        <v>24</v>
      </c>
      <c r="P13">
        <v>0</v>
      </c>
      <c r="Q13" t="s">
        <v>25</v>
      </c>
      <c r="R13">
        <v>0.164383561643836</v>
      </c>
      <c r="S13" t="s">
        <v>24</v>
      </c>
      <c r="T13">
        <v>-0.89500481315467295</v>
      </c>
      <c r="U13" t="s">
        <v>26</v>
      </c>
      <c r="V13">
        <v>-0.15997835576112601</v>
      </c>
      <c r="W13" t="s">
        <v>25</v>
      </c>
      <c r="X13">
        <v>0.147320486970166</v>
      </c>
      <c r="Y13" t="s">
        <v>25</v>
      </c>
      <c r="Z13">
        <v>-0.37840000102828603</v>
      </c>
      <c r="AA13" t="s">
        <v>26</v>
      </c>
      <c r="AB13">
        <v>-0.208178262981429</v>
      </c>
      <c r="AC13" t="s">
        <v>26</v>
      </c>
      <c r="AD13">
        <v>6.8493150684931503E-2</v>
      </c>
      <c r="AE13" t="s">
        <v>24</v>
      </c>
      <c r="AF13" t="s">
        <v>133</v>
      </c>
    </row>
    <row r="14" spans="1:32" x14ac:dyDescent="0.35">
      <c r="A14">
        <v>13</v>
      </c>
      <c r="B14" t="s">
        <v>114</v>
      </c>
      <c r="C14" t="s">
        <v>121</v>
      </c>
      <c r="D14" t="s">
        <v>50</v>
      </c>
      <c r="E14" t="s">
        <v>65</v>
      </c>
      <c r="G14" t="s">
        <v>50</v>
      </c>
      <c r="H14">
        <v>-2.6511925010758601E-2</v>
      </c>
      <c r="I14" t="s">
        <v>24</v>
      </c>
      <c r="J14">
        <v>-0.68365213968431704</v>
      </c>
      <c r="K14" t="s">
        <v>25</v>
      </c>
      <c r="L14">
        <v>0</v>
      </c>
      <c r="M14" t="s">
        <v>25</v>
      </c>
      <c r="N14">
        <v>0.28766086298258903</v>
      </c>
      <c r="O14" t="s">
        <v>24</v>
      </c>
      <c r="P14">
        <v>-6.8887206661620001E-2</v>
      </c>
      <c r="Q14" t="s">
        <v>26</v>
      </c>
      <c r="R14">
        <v>3.5579106737320197E-2</v>
      </c>
      <c r="S14" t="s">
        <v>24</v>
      </c>
      <c r="T14">
        <v>-0.35180583535633098</v>
      </c>
      <c r="U14" t="s">
        <v>26</v>
      </c>
      <c r="V14">
        <v>1.2401488185023899</v>
      </c>
      <c r="W14" t="s">
        <v>24</v>
      </c>
      <c r="X14">
        <v>1.0186357519123199</v>
      </c>
      <c r="Y14" t="s">
        <v>24</v>
      </c>
      <c r="Z14">
        <v>-0.43584020587236499</v>
      </c>
      <c r="AA14" t="s">
        <v>26</v>
      </c>
      <c r="AB14">
        <v>-1.89026607995711</v>
      </c>
      <c r="AC14" t="s">
        <v>26</v>
      </c>
      <c r="AD14">
        <v>2.2710068130204399E-3</v>
      </c>
      <c r="AE14" t="s">
        <v>24</v>
      </c>
      <c r="AF14" t="s">
        <v>132</v>
      </c>
    </row>
    <row r="15" spans="1:32" x14ac:dyDescent="0.35">
      <c r="A15">
        <v>14</v>
      </c>
      <c r="B15" t="s">
        <v>115</v>
      </c>
      <c r="C15" t="s">
        <v>122</v>
      </c>
      <c r="D15" t="s">
        <v>50</v>
      </c>
      <c r="E15" t="s">
        <v>68</v>
      </c>
      <c r="H15">
        <v>-3.7001044037006298E-2</v>
      </c>
      <c r="I15" t="s">
        <v>25</v>
      </c>
      <c r="J15">
        <v>1.3196607378031699</v>
      </c>
      <c r="K15" t="s">
        <v>24</v>
      </c>
      <c r="L15">
        <v>1.7615325333039699E-3</v>
      </c>
      <c r="M15" t="s">
        <v>24</v>
      </c>
      <c r="N15">
        <v>3.9634481999339397E-3</v>
      </c>
      <c r="O15" t="s">
        <v>24</v>
      </c>
      <c r="P15">
        <v>1.10095783331498E-2</v>
      </c>
      <c r="Q15" t="s">
        <v>24</v>
      </c>
      <c r="R15">
        <v>1.9817240999669698E-3</v>
      </c>
      <c r="S15" t="s">
        <v>24</v>
      </c>
      <c r="T15">
        <v>-3.8249412895483302E-4</v>
      </c>
      <c r="U15" t="s">
        <v>25</v>
      </c>
      <c r="V15">
        <v>-1.39125003838381</v>
      </c>
      <c r="W15" t="s">
        <v>26</v>
      </c>
      <c r="X15">
        <v>-1.0215798091065</v>
      </c>
      <c r="Y15" t="s">
        <v>26</v>
      </c>
      <c r="Z15">
        <v>0.56577153165796801</v>
      </c>
      <c r="AA15" t="s">
        <v>25</v>
      </c>
      <c r="AB15">
        <v>-0.40900734055557803</v>
      </c>
      <c r="AC15" t="s">
        <v>26</v>
      </c>
      <c r="AD15">
        <v>0</v>
      </c>
      <c r="AE15" t="s">
        <v>25</v>
      </c>
      <c r="AF15" t="s">
        <v>132</v>
      </c>
    </row>
    <row r="16" spans="1:32" x14ac:dyDescent="0.35">
      <c r="A16">
        <v>15</v>
      </c>
      <c r="B16" t="s">
        <v>116</v>
      </c>
      <c r="C16" t="s">
        <v>123</v>
      </c>
      <c r="D16" t="s">
        <v>50</v>
      </c>
      <c r="E16" t="s">
        <v>64</v>
      </c>
      <c r="F16" t="s">
        <v>50</v>
      </c>
      <c r="H16">
        <v>-2.67050719139936E-2</v>
      </c>
      <c r="I16" t="s">
        <v>24</v>
      </c>
      <c r="J16">
        <v>-0.49407259213266103</v>
      </c>
      <c r="K16" t="s">
        <v>25</v>
      </c>
      <c r="L16">
        <v>1.37931034482759E-2</v>
      </c>
      <c r="M16" t="s">
        <v>24</v>
      </c>
      <c r="N16">
        <v>0.90191570881226102</v>
      </c>
      <c r="O16" t="s">
        <v>24</v>
      </c>
      <c r="P16">
        <v>-0.64827586206896504</v>
      </c>
      <c r="Q16" t="s">
        <v>26</v>
      </c>
      <c r="R16">
        <v>1.6858237547892702E-2</v>
      </c>
      <c r="S16" t="s">
        <v>24</v>
      </c>
      <c r="T16">
        <v>-1.24200217344576E-2</v>
      </c>
      <c r="U16" t="s">
        <v>25</v>
      </c>
      <c r="V16">
        <v>-1.18048900976416</v>
      </c>
      <c r="W16" t="s">
        <v>26</v>
      </c>
      <c r="X16">
        <v>-1.15047643216092</v>
      </c>
      <c r="Y16" t="s">
        <v>26</v>
      </c>
      <c r="Z16">
        <v>0.75138296902419999</v>
      </c>
      <c r="AA16" t="s">
        <v>24</v>
      </c>
      <c r="AB16">
        <v>0.66813899736196203</v>
      </c>
      <c r="AC16" t="s">
        <v>24</v>
      </c>
      <c r="AD16">
        <v>3.8314176245210702E-4</v>
      </c>
      <c r="AE16" t="s">
        <v>24</v>
      </c>
      <c r="AF16" t="s">
        <v>132</v>
      </c>
    </row>
    <row r="17" spans="1:32" x14ac:dyDescent="0.35">
      <c r="A17">
        <v>16</v>
      </c>
      <c r="B17" t="s">
        <v>117</v>
      </c>
      <c r="C17" s="4" t="s">
        <v>126</v>
      </c>
      <c r="D17" t="s">
        <v>50</v>
      </c>
      <c r="E17" t="s">
        <v>64</v>
      </c>
      <c r="F17" t="s">
        <v>48</v>
      </c>
      <c r="H17">
        <v>-3.7001044037006298E-2</v>
      </c>
      <c r="I17" t="s">
        <v>25</v>
      </c>
      <c r="J17">
        <v>-0.47480270633142402</v>
      </c>
      <c r="K17" t="s">
        <v>25</v>
      </c>
      <c r="L17">
        <v>0</v>
      </c>
      <c r="M17" t="s">
        <v>25</v>
      </c>
      <c r="N17">
        <v>0.22062350119904101</v>
      </c>
      <c r="O17" t="s">
        <v>24</v>
      </c>
      <c r="P17">
        <v>-9.5923261390887301E-3</v>
      </c>
      <c r="Q17" t="s">
        <v>26</v>
      </c>
      <c r="R17">
        <v>7.9936051159072697E-4</v>
      </c>
      <c r="S17" t="s">
        <v>24</v>
      </c>
      <c r="T17">
        <v>2.2274468182586</v>
      </c>
      <c r="U17" t="s">
        <v>24</v>
      </c>
      <c r="V17">
        <v>-0.62931880800057105</v>
      </c>
      <c r="W17" t="s">
        <v>26</v>
      </c>
      <c r="X17">
        <v>-1.27993595827424</v>
      </c>
      <c r="Y17" t="s">
        <v>26</v>
      </c>
      <c r="Z17">
        <v>1.35874916558246</v>
      </c>
      <c r="AA17" t="s">
        <v>24</v>
      </c>
      <c r="AB17">
        <v>0.49024698748511403</v>
      </c>
      <c r="AC17" t="s">
        <v>25</v>
      </c>
      <c r="AD17">
        <v>3.9968025579536402E-4</v>
      </c>
      <c r="AE17" t="s">
        <v>24</v>
      </c>
      <c r="AF17" t="s">
        <v>132</v>
      </c>
    </row>
    <row r="18" spans="1:32" x14ac:dyDescent="0.35">
      <c r="A18">
        <v>17</v>
      </c>
      <c r="H18">
        <v>-1.6790926557990998E-2</v>
      </c>
      <c r="I18" t="s">
        <v>24</v>
      </c>
      <c r="J18">
        <v>-0.58385993294916805</v>
      </c>
      <c r="K18" t="s">
        <v>25</v>
      </c>
      <c r="L18">
        <v>3.5269709543568499E-2</v>
      </c>
      <c r="M18" t="s">
        <v>24</v>
      </c>
      <c r="N18">
        <v>0.18215767634854799</v>
      </c>
      <c r="O18" t="s">
        <v>24</v>
      </c>
      <c r="P18">
        <v>-0.10124481327800799</v>
      </c>
      <c r="Q18" t="s">
        <v>26</v>
      </c>
      <c r="R18">
        <v>2.9875518672199199E-2</v>
      </c>
      <c r="S18" t="s">
        <v>24</v>
      </c>
      <c r="T18">
        <v>-0.50592490716523297</v>
      </c>
      <c r="U18" t="s">
        <v>26</v>
      </c>
      <c r="V18">
        <v>-1.1172345699114099</v>
      </c>
      <c r="W18" t="s">
        <v>26</v>
      </c>
      <c r="X18">
        <v>-0.99022335754915503</v>
      </c>
      <c r="Y18" t="s">
        <v>26</v>
      </c>
      <c r="Z18">
        <v>0.64357082169238899</v>
      </c>
      <c r="AA18" t="s">
        <v>25</v>
      </c>
      <c r="AB18">
        <v>-1.07158059526848</v>
      </c>
      <c r="AC18" t="s">
        <v>26</v>
      </c>
      <c r="AD18">
        <v>2.0746887966805001E-3</v>
      </c>
      <c r="AE18" t="s">
        <v>24</v>
      </c>
      <c r="AF18" t="s">
        <v>134</v>
      </c>
    </row>
    <row r="19" spans="1:32" x14ac:dyDescent="0.35">
      <c r="A19">
        <v>18</v>
      </c>
      <c r="B19" t="s">
        <v>118</v>
      </c>
      <c r="C19" t="s">
        <v>127</v>
      </c>
      <c r="D19" t="s">
        <v>53</v>
      </c>
      <c r="E19" t="s">
        <v>64</v>
      </c>
      <c r="F19" t="s">
        <v>53</v>
      </c>
      <c r="H19">
        <v>-3.7001044037006298E-2</v>
      </c>
      <c r="I19" t="s">
        <v>25</v>
      </c>
      <c r="J19">
        <v>1.32915910402767</v>
      </c>
      <c r="K19" t="s">
        <v>24</v>
      </c>
      <c r="L19">
        <v>1.7882689556509299E-3</v>
      </c>
      <c r="M19" t="s">
        <v>24</v>
      </c>
      <c r="N19">
        <v>1.35908440629471E-2</v>
      </c>
      <c r="O19" t="s">
        <v>24</v>
      </c>
      <c r="P19">
        <v>1.3233190271816899E-2</v>
      </c>
      <c r="Q19" t="s">
        <v>24</v>
      </c>
      <c r="R19">
        <v>7.8683834048640898E-3</v>
      </c>
      <c r="S19" t="s">
        <v>24</v>
      </c>
      <c r="T19">
        <v>0.42424242782319499</v>
      </c>
      <c r="U19" t="s">
        <v>24</v>
      </c>
      <c r="V19">
        <v>-0.13199626667871101</v>
      </c>
      <c r="W19" t="s">
        <v>25</v>
      </c>
      <c r="X19">
        <v>0.60702990271036505</v>
      </c>
      <c r="Y19" t="s">
        <v>25</v>
      </c>
      <c r="Z19">
        <v>-1.05950131204041</v>
      </c>
      <c r="AA19" t="s">
        <v>26</v>
      </c>
      <c r="AB19">
        <v>0.31949740038311403</v>
      </c>
      <c r="AC19" t="s">
        <v>25</v>
      </c>
      <c r="AD19">
        <v>0</v>
      </c>
      <c r="AE19" t="s">
        <v>25</v>
      </c>
      <c r="AF19" t="s">
        <v>132</v>
      </c>
    </row>
    <row r="20" spans="1:32" x14ac:dyDescent="0.35">
      <c r="A20">
        <v>19</v>
      </c>
      <c r="B20" t="s">
        <v>119</v>
      </c>
      <c r="C20" t="s">
        <v>124</v>
      </c>
      <c r="D20" t="s">
        <v>53</v>
      </c>
      <c r="E20" t="s">
        <v>64</v>
      </c>
      <c r="F20" t="s">
        <v>53</v>
      </c>
      <c r="H20">
        <v>-3.7001044037006298E-2</v>
      </c>
      <c r="I20" t="s">
        <v>25</v>
      </c>
      <c r="J20">
        <v>-0.71871150757509605</v>
      </c>
      <c r="K20" t="s">
        <v>25</v>
      </c>
      <c r="L20">
        <v>4.6260601387817998E-3</v>
      </c>
      <c r="M20" t="s">
        <v>24</v>
      </c>
      <c r="N20">
        <v>6.2837316885119496E-2</v>
      </c>
      <c r="O20" t="s">
        <v>24</v>
      </c>
      <c r="P20">
        <v>0.12875867386275999</v>
      </c>
      <c r="Q20" t="s">
        <v>24</v>
      </c>
      <c r="R20">
        <v>5.3970701619121004E-3</v>
      </c>
      <c r="S20" t="s">
        <v>24</v>
      </c>
      <c r="T20">
        <v>0.54164810054693202</v>
      </c>
      <c r="U20" t="s">
        <v>24</v>
      </c>
      <c r="V20">
        <v>-1.02516735231328</v>
      </c>
      <c r="W20" t="s">
        <v>26</v>
      </c>
      <c r="X20">
        <v>-1.0495094962670599</v>
      </c>
      <c r="Y20" t="s">
        <v>26</v>
      </c>
      <c r="Z20">
        <v>0.72772834290320298</v>
      </c>
      <c r="AA20" t="s">
        <v>24</v>
      </c>
      <c r="AB20">
        <v>0.72487463657864903</v>
      </c>
      <c r="AC20" t="s">
        <v>24</v>
      </c>
      <c r="AD20">
        <v>0</v>
      </c>
      <c r="AE20" t="s">
        <v>25</v>
      </c>
      <c r="AF20" t="s">
        <v>132</v>
      </c>
    </row>
    <row r="21" spans="1:32" x14ac:dyDescent="0.35">
      <c r="A21">
        <v>20</v>
      </c>
      <c r="H21">
        <v>-3.7001044037006298E-2</v>
      </c>
      <c r="I21" t="s">
        <v>25</v>
      </c>
      <c r="J21">
        <v>-0.71307780000591003</v>
      </c>
      <c r="K21" t="s">
        <v>25</v>
      </c>
      <c r="L21">
        <v>0</v>
      </c>
      <c r="M21" t="s">
        <v>25</v>
      </c>
      <c r="N21">
        <v>4.5433033601514398E-2</v>
      </c>
      <c r="O21" t="s">
        <v>24</v>
      </c>
      <c r="P21">
        <v>-3.4074775201135797E-2</v>
      </c>
      <c r="Q21" t="s">
        <v>26</v>
      </c>
      <c r="R21">
        <v>0.11973497397065801</v>
      </c>
      <c r="S21" t="s">
        <v>24</v>
      </c>
      <c r="T21">
        <v>-1.0614656225630901</v>
      </c>
      <c r="U21" t="s">
        <v>26</v>
      </c>
      <c r="V21">
        <v>-0.18291448505105901</v>
      </c>
      <c r="W21" t="s">
        <v>25</v>
      </c>
      <c r="X21">
        <v>0.65610047567237195</v>
      </c>
      <c r="Y21" t="s">
        <v>25</v>
      </c>
      <c r="Z21">
        <v>-1.1449867618879499</v>
      </c>
      <c r="AA21" t="s">
        <v>26</v>
      </c>
      <c r="AB21">
        <v>-1.27605495615397</v>
      </c>
      <c r="AC21" t="s">
        <v>26</v>
      </c>
      <c r="AD21">
        <v>0</v>
      </c>
      <c r="AE21" t="s">
        <v>25</v>
      </c>
      <c r="AF21" t="s">
        <v>133</v>
      </c>
    </row>
    <row r="22" spans="1:32" x14ac:dyDescent="0.35">
      <c r="A22">
        <v>21</v>
      </c>
      <c r="B22" t="s">
        <v>38</v>
      </c>
      <c r="C22" t="s">
        <v>125</v>
      </c>
      <c r="D22" t="s">
        <v>50</v>
      </c>
      <c r="E22" t="s">
        <v>64</v>
      </c>
      <c r="F22" t="s">
        <v>50</v>
      </c>
      <c r="H22">
        <v>-3.3745524532693499E-2</v>
      </c>
      <c r="I22" t="s">
        <v>24</v>
      </c>
      <c r="J22">
        <v>-0.67230666118642701</v>
      </c>
      <c r="K22" t="s">
        <v>25</v>
      </c>
      <c r="L22">
        <v>1.5695915279879E-2</v>
      </c>
      <c r="M22" t="s">
        <v>24</v>
      </c>
      <c r="N22">
        <v>1.8532526475037801E-2</v>
      </c>
      <c r="O22" t="s">
        <v>24</v>
      </c>
      <c r="P22">
        <v>3.6875945537065101E-2</v>
      </c>
      <c r="Q22" t="s">
        <v>24</v>
      </c>
      <c r="R22">
        <v>3.0635400907715601E-2</v>
      </c>
      <c r="S22" t="s">
        <v>24</v>
      </c>
      <c r="T22">
        <v>-0.79576800368650402</v>
      </c>
      <c r="U22" t="s">
        <v>26</v>
      </c>
      <c r="V22">
        <v>-1.1517644403110401</v>
      </c>
      <c r="W22" t="s">
        <v>26</v>
      </c>
      <c r="X22">
        <v>-1.09785179903622</v>
      </c>
      <c r="Y22" t="s">
        <v>26</v>
      </c>
      <c r="Z22">
        <v>0.71902832768298897</v>
      </c>
      <c r="AA22" t="s">
        <v>24</v>
      </c>
      <c r="AB22">
        <v>0.72602907515762505</v>
      </c>
      <c r="AC22" t="s">
        <v>24</v>
      </c>
      <c r="AD22">
        <v>3.7821482602117998E-4</v>
      </c>
      <c r="AE22" t="s">
        <v>24</v>
      </c>
      <c r="AF22" t="s">
        <v>132</v>
      </c>
    </row>
    <row r="24" spans="1:32" x14ac:dyDescent="0.35">
      <c r="A24" t="s">
        <v>106</v>
      </c>
      <c r="H24">
        <f>AVERAGE(H2:H22)</f>
        <v>1.2139396542939258</v>
      </c>
      <c r="J24">
        <f>AVERAGE(J2:J22)</f>
        <v>-0.44204942948589571</v>
      </c>
      <c r="L24">
        <f>AVERAGE(L2:L22)</f>
        <v>3.8682490023530256E-3</v>
      </c>
      <c r="N24">
        <f>AVERAGE(N2:N22)</f>
        <v>0.22013511964154173</v>
      </c>
      <c r="P24">
        <f>AVERAGE(P2:P22)</f>
        <v>-6.1625470541059164E-2</v>
      </c>
      <c r="R24">
        <f>AVERAGE(R2:R22)</f>
        <v>3.1226269890151155E-2</v>
      </c>
      <c r="T24">
        <f>AVERAGE(T2:T22)</f>
        <v>-2.9789339865538243E-2</v>
      </c>
      <c r="V24">
        <f>AVERAGE(V2:V22)</f>
        <v>-0.17208980891677081</v>
      </c>
      <c r="X24">
        <f>AVERAGE(X2:X22)</f>
        <v>-4.2621063147652301E-2</v>
      </c>
      <c r="Z24">
        <f>AVERAGE(Z2:Z22)</f>
        <v>-8.7867852098547583E-2</v>
      </c>
      <c r="AB24">
        <f>AVERAGE(AB2:AB22)</f>
        <v>-0.31243441522281901</v>
      </c>
      <c r="AD24">
        <f>AVERAGE(AD2:AD22)</f>
        <v>4.4075401540272516E-3</v>
      </c>
      <c r="AF24" t="s">
        <v>132</v>
      </c>
    </row>
    <row r="25" spans="1:32" x14ac:dyDescent="0.35">
      <c r="C25" s="5" t="s">
        <v>130</v>
      </c>
    </row>
    <row r="29" spans="1:32" x14ac:dyDescent="0.35">
      <c r="A29" t="s">
        <v>73</v>
      </c>
    </row>
    <row r="30" spans="1:32" x14ac:dyDescent="0.35">
      <c r="A30" t="s">
        <v>74</v>
      </c>
      <c r="B30" t="s">
        <v>75</v>
      </c>
    </row>
    <row r="31" spans="1:32" x14ac:dyDescent="0.35">
      <c r="A31" t="s">
        <v>76</v>
      </c>
      <c r="B31" t="s">
        <v>77</v>
      </c>
    </row>
    <row r="32" spans="1:32" x14ac:dyDescent="0.35">
      <c r="A32" t="s">
        <v>78</v>
      </c>
      <c r="B32" t="s">
        <v>79</v>
      </c>
    </row>
    <row r="33" spans="1:7" x14ac:dyDescent="0.35">
      <c r="A33" t="s">
        <v>80</v>
      </c>
      <c r="B33" t="s">
        <v>81</v>
      </c>
    </row>
    <row r="34" spans="1:7" x14ac:dyDescent="0.35">
      <c r="A34" t="s">
        <v>82</v>
      </c>
      <c r="B34" t="s">
        <v>83</v>
      </c>
    </row>
    <row r="35" spans="1:7" x14ac:dyDescent="0.35">
      <c r="A35" s="3" t="s">
        <v>84</v>
      </c>
      <c r="B35" t="s">
        <v>85</v>
      </c>
      <c r="C35" s="3"/>
      <c r="D35" s="3"/>
      <c r="E35" s="3"/>
      <c r="F35" s="3"/>
      <c r="G35" s="3"/>
    </row>
    <row r="36" spans="1:7" x14ac:dyDescent="0.35">
      <c r="A36" t="s">
        <v>86</v>
      </c>
      <c r="B36" t="s">
        <v>87</v>
      </c>
    </row>
    <row r="37" spans="1:7" x14ac:dyDescent="0.35">
      <c r="A37" t="s">
        <v>88</v>
      </c>
      <c r="B37" t="s">
        <v>89</v>
      </c>
    </row>
    <row r="38" spans="1:7" x14ac:dyDescent="0.35">
      <c r="A38" t="s">
        <v>90</v>
      </c>
      <c r="B38" t="s">
        <v>91</v>
      </c>
    </row>
    <row r="39" spans="1:7" x14ac:dyDescent="0.35">
      <c r="A39" t="s">
        <v>92</v>
      </c>
      <c r="B39" t="s">
        <v>93</v>
      </c>
    </row>
    <row r="40" spans="1:7" x14ac:dyDescent="0.35">
      <c r="A40" t="s">
        <v>94</v>
      </c>
      <c r="B40" t="s">
        <v>95</v>
      </c>
    </row>
    <row r="41" spans="1:7" x14ac:dyDescent="0.35">
      <c r="A41" t="s">
        <v>96</v>
      </c>
      <c r="B41" t="s">
        <v>97</v>
      </c>
    </row>
  </sheetData>
  <autoFilter ref="A1:AF22" xr:uid="{D3A0CA49-E212-4387-8F38-D8F3AAFD7014}"/>
  <conditionalFormatting sqref="H2:H22">
    <cfRule type="colorScale" priority="1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H24">
    <cfRule type="colorScale" priority="19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J2:J22">
    <cfRule type="colorScale" priority="1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J24 AD24 AB24 Z24 X24 V24 T24 R24 P24 N24 L24">
    <cfRule type="colorScale" priority="15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L2:L22">
    <cfRule type="colorScale" priority="1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N2:N22">
    <cfRule type="colorScale" priority="1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P2:P22">
    <cfRule type="colorScale" priority="8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R2:R22">
    <cfRule type="colorScale" priority="7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T2:T22">
    <cfRule type="colorScale" priority="6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V2:V22">
    <cfRule type="colorScale" priority="5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X2:X22">
    <cfRule type="colorScale" priority="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Z2:Z22">
    <cfRule type="colorScale" priority="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B2:AB22">
    <cfRule type="colorScale" priority="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D2:AD22">
    <cfRule type="colorScale" priority="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844E-6B18-4E5E-BA97-1F591566123E}">
  <sheetPr filterMode="1"/>
  <dimension ref="A1:AC49"/>
  <sheetViews>
    <sheetView zoomScale="70" zoomScaleNormal="70" workbookViewId="0">
      <selection activeCell="A10" sqref="A10:XFD10"/>
    </sheetView>
  </sheetViews>
  <sheetFormatPr defaultRowHeight="14.5" x14ac:dyDescent="0.35"/>
  <cols>
    <col min="1" max="1" width="12.08984375" bestFit="1" customWidth="1"/>
    <col min="2" max="2" width="23.26953125" customWidth="1"/>
    <col min="3" max="3" width="20.36328125" customWidth="1"/>
    <col min="4" max="4" width="15.26953125" bestFit="1" customWidth="1"/>
  </cols>
  <sheetData>
    <row r="1" spans="1:29" x14ac:dyDescent="0.35">
      <c r="A1" t="s">
        <v>0</v>
      </c>
      <c r="B1" t="s">
        <v>128</v>
      </c>
      <c r="C1" t="s">
        <v>135</v>
      </c>
      <c r="D1" t="s">
        <v>129</v>
      </c>
      <c r="E1" t="s">
        <v>1</v>
      </c>
      <c r="F1" t="s">
        <v>2</v>
      </c>
      <c r="G1" t="s">
        <v>3</v>
      </c>
      <c r="H1" t="s">
        <v>71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72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131</v>
      </c>
    </row>
    <row r="2" spans="1:29" x14ac:dyDescent="0.35">
      <c r="A2">
        <v>1</v>
      </c>
      <c r="B2" t="str">
        <f>_xlfn.TEXTJOIN(" ",TRUE,
    IF(E2&lt;=0, "", IF(E2&gt;0.5, $B$38, $A$38)),
    IF(G2&lt;=0, "", IF(G2&gt;0.5, $B$39, $A$39)),
    IF(I2&lt;=0, "", IF(I2&gt;0.5, $B$40, $A$40)),
    IF(K2&lt;=0, "", IF(K2&gt;0.5, $B$41, $A$41)),
    IF(M2&lt;=0, "", IF(M2&gt;0.5, $B$42, $A$42)),
    IF(O2&lt;=0, "", IF(O2&gt;0.5, $B$43, $A$43)),
    IF(Q2&lt;=0, "", IF(Q2&gt;0.5, $B$44, $A$44)),
    IF(S2&lt;=0, "", IF(S2&gt;0.5, $B$45, $A$45)),
    IF(U2&lt;=0, "", IF(U2&gt;0.5, $B$46, $A$46)),
    IF(W2&lt;=0, "", IF(W2&gt;0.5, $B$47, $A$47)),
    IF(Y2&lt;=0, "", IF(Y2&gt;0.5, $B$48, $A$48)),
    IF(AA2&lt;=0, "", IF(AA2&gt;0.5, $B$49, $A$49))
)</f>
        <v>gr grc lu PRC</v>
      </c>
      <c r="C2" s="7">
        <f>SUM(IF(E2&lt;=0,0,IF(E2&gt;0.5,1,0.5)),IF(G2&lt;=0,0,IF(G2&gt;0.5,1,0.5)),IF(I2&lt;=0,0,IF(I2&gt;0.5,1,0.5)),IF(K2&lt;=0,0,IF(K2&gt;0.5,1,0.5)),IF(M2&lt;=0,0,IF(M2&gt;0.5,1,0.5)),IF(O2&lt;=0,0,IF(O2&gt;0.5,1,0.5)),IF(Q2&lt;=0,0,IF(Q2&gt;0.5,1,0.5)),IF(S2&lt;=0,0,IF(S2&gt;0.5,1,0.5)),IF(U2&lt;=0,0,IF(U2&gt;0.5,1,0.5)),IF(W2&lt;=0,0,IF(W2&gt;0.5,1,0.5)),IF(Y2&lt;=0,0,IF(Y2&gt;0.5,1,0.5)),IF(AA2&lt;=0,0,IF(AA2&gt;0.5,1,0.5)))</f>
        <v>2.5</v>
      </c>
      <c r="E2">
        <v>-2.8192317887182301E-2</v>
      </c>
      <c r="F2" t="s">
        <v>24</v>
      </c>
      <c r="G2">
        <v>-0.67534272638558202</v>
      </c>
      <c r="H2" t="s">
        <v>25</v>
      </c>
      <c r="I2">
        <v>0</v>
      </c>
      <c r="J2" t="s">
        <v>25</v>
      </c>
      <c r="K2">
        <v>0.15151515151515199</v>
      </c>
      <c r="L2" t="s">
        <v>24</v>
      </c>
      <c r="M2">
        <v>3.7296037296037303E-2</v>
      </c>
      <c r="N2" t="s">
        <v>24</v>
      </c>
      <c r="O2">
        <v>1.1655011655011699E-2</v>
      </c>
      <c r="P2" t="s">
        <v>24</v>
      </c>
      <c r="Q2">
        <v>-0.29201540519786601</v>
      </c>
      <c r="R2" t="s">
        <v>26</v>
      </c>
      <c r="S2">
        <v>-0.237101163010392</v>
      </c>
      <c r="T2" t="s">
        <v>25</v>
      </c>
      <c r="U2">
        <v>-1.5906860968540399</v>
      </c>
      <c r="V2" t="s">
        <v>26</v>
      </c>
      <c r="W2">
        <v>2.0904347266301002</v>
      </c>
      <c r="X2" t="s">
        <v>24</v>
      </c>
      <c r="Y2">
        <v>-1.2447936570865401</v>
      </c>
      <c r="Z2" t="s">
        <v>26</v>
      </c>
      <c r="AA2">
        <v>0</v>
      </c>
      <c r="AB2" t="s">
        <v>25</v>
      </c>
      <c r="AC2" t="s">
        <v>132</v>
      </c>
    </row>
    <row r="3" spans="1:29" x14ac:dyDescent="0.35">
      <c r="A3">
        <v>2</v>
      </c>
      <c r="B3" t="str">
        <f t="shared" ref="B3:B22" si="0">_xlfn.TEXTJOIN(" ",TRUE,
    IF(E3&lt;=0, "", IF(E3&gt;0.5, $B$38, $A$38)),
    IF(G3&lt;=0, "", IF(G3&gt;0.5, $B$39, $A$39)),
    IF(I3&lt;=0, "", IF(I3&gt;0.5, $B$40, $A$40)),
    IF(K3&lt;=0, "", IF(K3&gt;0.5, $B$41, $A$41)),
    IF(M3&lt;=0, "", IF(M3&gt;0.5, $B$42, $A$42)),
    IF(O3&lt;=0, "", IF(O3&gt;0.5, $B$43, $A$43)),
    IF(Q3&lt;=0, "", IF(Q3&gt;0.5, $B$44, $A$44)),
    IF(S3&lt;=0, "", IF(S3&gt;0.5, $B$45, $A$45)),
    IF(U3&lt;=0, "", IF(U3&gt;0.5, $B$46, $A$46)),
    IF(W3&lt;=0, "", IF(W3&gt;0.5, $B$47, $A$47)),
    IF(Y3&lt;=0, "", IF(Y3&gt;0.5, $B$48, $A$48)),
    IF(AA3&lt;=0, "", IF(AA3&gt;0.5, $B$49, $A$49))
)</f>
        <v>GR lu PI TEC PETC</v>
      </c>
      <c r="C3" s="7">
        <f t="shared" ref="C3:C22" si="1">SUM(IF(E3&lt;=0,0,IF(E3&gt;0.5,1,0.5)),IF(G3&lt;=0,0,IF(G3&gt;0.5,1,0.5)),IF(I3&lt;=0,0,IF(I3&gt;0.5,1,0.5)),IF(K3&lt;=0,0,IF(K3&gt;0.5,1,0.5)),IF(M3&lt;=0,0,IF(M3&gt;0.5,1,0.5)),IF(O3&lt;=0,0,IF(O3&gt;0.5,1,0.5)),IF(Q3&lt;=0,0,IF(Q3&gt;0.5,1,0.5)),IF(S3&lt;=0,0,IF(S3&gt;0.5,1,0.5)),IF(U3&lt;=0,0,IF(U3&gt;0.5,1,0.5)),IF(W3&lt;=0,0,IF(W3&gt;0.5,1,0.5)),IF(Y3&lt;=0,0,IF(Y3&gt;0.5,1,0.5)),IF(AA3&lt;=0,0,IF(AA3&gt;0.5,1,0.5)))</f>
        <v>4.5</v>
      </c>
      <c r="E3">
        <v>-2.4088936343585401E-2</v>
      </c>
      <c r="F3" t="s">
        <v>24</v>
      </c>
      <c r="G3">
        <v>-0.54325047167867901</v>
      </c>
      <c r="H3" t="s">
        <v>25</v>
      </c>
      <c r="I3">
        <v>0</v>
      </c>
      <c r="J3" t="s">
        <v>25</v>
      </c>
      <c r="K3">
        <v>0.51822323462414599</v>
      </c>
      <c r="L3" t="s">
        <v>24</v>
      </c>
      <c r="M3">
        <v>-6.8337129840546698E-3</v>
      </c>
      <c r="N3" t="s">
        <v>26</v>
      </c>
      <c r="O3">
        <v>3.4168564920273301E-3</v>
      </c>
      <c r="P3" t="s">
        <v>24</v>
      </c>
      <c r="Q3">
        <v>2.3649553556177798</v>
      </c>
      <c r="R3" t="s">
        <v>24</v>
      </c>
      <c r="S3">
        <v>0.53041767020298802</v>
      </c>
      <c r="T3" t="s">
        <v>24</v>
      </c>
      <c r="U3">
        <v>0.80136304416759396</v>
      </c>
      <c r="V3" t="s">
        <v>24</v>
      </c>
      <c r="W3">
        <v>-0.77505423892959302</v>
      </c>
      <c r="X3" t="s">
        <v>26</v>
      </c>
      <c r="Y3">
        <v>-0.20375684300201199</v>
      </c>
      <c r="Z3" t="s">
        <v>26</v>
      </c>
      <c r="AA3">
        <v>0</v>
      </c>
      <c r="AB3" t="s">
        <v>25</v>
      </c>
      <c r="AC3" t="s">
        <v>132</v>
      </c>
    </row>
    <row r="4" spans="1:29" x14ac:dyDescent="0.35">
      <c r="A4">
        <v>3</v>
      </c>
      <c r="B4" t="str">
        <f t="shared" si="0"/>
        <v>tc gr lu PI tec PETC luc</v>
      </c>
      <c r="C4" s="7">
        <f t="shared" si="1"/>
        <v>4.5</v>
      </c>
      <c r="E4" s="3">
        <v>-2.5321416411370399E-2</v>
      </c>
      <c r="F4" t="s">
        <v>24</v>
      </c>
      <c r="G4">
        <v>0.15827933904548599</v>
      </c>
      <c r="H4" t="s">
        <v>25</v>
      </c>
      <c r="I4">
        <v>0</v>
      </c>
      <c r="J4" t="s">
        <v>25</v>
      </c>
      <c r="K4">
        <v>0.21835883171070899</v>
      </c>
      <c r="L4" t="s">
        <v>24</v>
      </c>
      <c r="M4">
        <v>-9.7357440890125199E-2</v>
      </c>
      <c r="N4" t="s">
        <v>26</v>
      </c>
      <c r="O4">
        <v>1.8080667593880401E-2</v>
      </c>
      <c r="P4" t="s">
        <v>24</v>
      </c>
      <c r="Q4">
        <v>0.81831061085857504</v>
      </c>
      <c r="R4" t="s">
        <v>24</v>
      </c>
      <c r="S4">
        <v>1.2038294829520501E-2</v>
      </c>
      <c r="T4" t="s">
        <v>25</v>
      </c>
      <c r="U4">
        <v>0.74103908841480304</v>
      </c>
      <c r="V4" t="s">
        <v>24</v>
      </c>
      <c r="W4">
        <v>-1.0865624301402901</v>
      </c>
      <c r="X4" t="s">
        <v>26</v>
      </c>
      <c r="Y4">
        <v>-1.78517078836904</v>
      </c>
      <c r="Z4" t="s">
        <v>26</v>
      </c>
      <c r="AA4">
        <v>2.7816411682892901E-3</v>
      </c>
      <c r="AB4" t="s">
        <v>24</v>
      </c>
      <c r="AC4" t="s">
        <v>132</v>
      </c>
    </row>
    <row r="5" spans="1:29" hidden="1" x14ac:dyDescent="0.35">
      <c r="A5">
        <v>4</v>
      </c>
      <c r="B5" t="str">
        <f t="shared" si="0"/>
        <v>GR lu pi tec PETC</v>
      </c>
      <c r="C5" s="7">
        <f t="shared" si="1"/>
        <v>3.5</v>
      </c>
      <c r="E5">
        <v>-3.4103636700778997E-2</v>
      </c>
      <c r="F5" t="s">
        <v>24</v>
      </c>
      <c r="G5">
        <v>-0.71715289556962603</v>
      </c>
      <c r="H5" t="s">
        <v>25</v>
      </c>
      <c r="I5">
        <v>0</v>
      </c>
      <c r="J5" t="s">
        <v>25</v>
      </c>
      <c r="K5">
        <v>0.91891891891891897</v>
      </c>
      <c r="L5" t="s">
        <v>24</v>
      </c>
      <c r="M5">
        <v>-0.78953421506612997</v>
      </c>
      <c r="N5" t="s">
        <v>26</v>
      </c>
      <c r="O5">
        <v>1.0350776308223101E-2</v>
      </c>
      <c r="P5" t="s">
        <v>24</v>
      </c>
      <c r="Q5">
        <v>7.3651561788909596E-3</v>
      </c>
      <c r="R5" t="s">
        <v>25</v>
      </c>
      <c r="S5">
        <v>0.15911693681064101</v>
      </c>
      <c r="T5" t="s">
        <v>25</v>
      </c>
      <c r="U5">
        <v>0.93374605913884501</v>
      </c>
      <c r="V5" t="s">
        <v>24</v>
      </c>
      <c r="W5">
        <v>-1.17882386993635</v>
      </c>
      <c r="X5" t="s">
        <v>26</v>
      </c>
      <c r="Y5">
        <v>-0.26888694807764801</v>
      </c>
      <c r="Z5" t="s">
        <v>26</v>
      </c>
      <c r="AA5">
        <v>0</v>
      </c>
      <c r="AB5" t="s">
        <v>25</v>
      </c>
      <c r="AC5" t="s">
        <v>133</v>
      </c>
    </row>
    <row r="6" spans="1:29" hidden="1" x14ac:dyDescent="0.35">
      <c r="A6">
        <v>5</v>
      </c>
      <c r="B6" t="str">
        <f t="shared" si="0"/>
        <v>gr lu PETC luc</v>
      </c>
      <c r="C6" s="7">
        <f t="shared" si="1"/>
        <v>2.5</v>
      </c>
      <c r="E6">
        <v>-3.7001044037006298E-2</v>
      </c>
      <c r="F6" t="s">
        <v>25</v>
      </c>
      <c r="G6">
        <v>-0.72967465148488198</v>
      </c>
      <c r="H6" t="s">
        <v>25</v>
      </c>
      <c r="I6">
        <v>0</v>
      </c>
      <c r="J6" t="s">
        <v>25</v>
      </c>
      <c r="K6">
        <v>3.7105751391465699E-2</v>
      </c>
      <c r="L6" t="s">
        <v>24</v>
      </c>
      <c r="M6">
        <v>-2.9684601113172501E-2</v>
      </c>
      <c r="N6" t="s">
        <v>26</v>
      </c>
      <c r="O6">
        <v>4.4526901669758798E-2</v>
      </c>
      <c r="P6" t="s">
        <v>24</v>
      </c>
      <c r="Q6">
        <v>-1.18412942637744</v>
      </c>
      <c r="R6" t="s">
        <v>26</v>
      </c>
      <c r="S6">
        <v>-0.24976294703149901</v>
      </c>
      <c r="T6" t="s">
        <v>25</v>
      </c>
      <c r="U6">
        <v>0.55922957710276899</v>
      </c>
      <c r="V6" t="s">
        <v>25</v>
      </c>
      <c r="W6">
        <v>-1.08310944064707</v>
      </c>
      <c r="X6" t="s">
        <v>26</v>
      </c>
      <c r="Y6">
        <v>-2.7972800695285698</v>
      </c>
      <c r="Z6" t="s">
        <v>26</v>
      </c>
      <c r="AA6">
        <v>4.6382189239332098E-3</v>
      </c>
      <c r="AB6" t="s">
        <v>24</v>
      </c>
      <c r="AC6" t="s">
        <v>133</v>
      </c>
    </row>
    <row r="7" spans="1:29" x14ac:dyDescent="0.35">
      <c r="A7">
        <v>6</v>
      </c>
      <c r="B7" t="str">
        <f t="shared" si="0"/>
        <v>gr grc lu PI TEC PETC sp luc</v>
      </c>
      <c r="C7" s="7">
        <f t="shared" si="1"/>
        <v>5.5</v>
      </c>
      <c r="D7" t="s">
        <v>53</v>
      </c>
      <c r="E7">
        <v>-3.4892140907214202E-2</v>
      </c>
      <c r="F7" t="s">
        <v>24</v>
      </c>
      <c r="G7">
        <v>-0.74093348426746397</v>
      </c>
      <c r="H7" t="s">
        <v>25</v>
      </c>
      <c r="I7">
        <v>0</v>
      </c>
      <c r="J7" t="s">
        <v>25</v>
      </c>
      <c r="K7">
        <v>0.41788046207935697</v>
      </c>
      <c r="L7" t="s">
        <v>24</v>
      </c>
      <c r="M7">
        <v>9.9949773982923207E-2</v>
      </c>
      <c r="N7" t="s">
        <v>24</v>
      </c>
      <c r="O7">
        <v>1.6072325464590701E-2</v>
      </c>
      <c r="P7" t="s">
        <v>24</v>
      </c>
      <c r="Q7">
        <v>0.65378169235518402</v>
      </c>
      <c r="R7" t="s">
        <v>24</v>
      </c>
      <c r="S7">
        <v>0.83031621473697903</v>
      </c>
      <c r="T7" t="s">
        <v>24</v>
      </c>
      <c r="U7">
        <v>0.63935730701748195</v>
      </c>
      <c r="V7" t="s">
        <v>25</v>
      </c>
      <c r="W7">
        <v>-0.39180674773007201</v>
      </c>
      <c r="X7" t="s">
        <v>26</v>
      </c>
      <c r="Y7">
        <v>0.47862963767229999</v>
      </c>
      <c r="Z7" t="s">
        <v>25</v>
      </c>
      <c r="AA7">
        <v>1.0045203415369199E-3</v>
      </c>
      <c r="AB7" t="s">
        <v>24</v>
      </c>
      <c r="AC7" t="s">
        <v>132</v>
      </c>
    </row>
    <row r="8" spans="1:29" x14ac:dyDescent="0.35">
      <c r="A8">
        <v>7</v>
      </c>
      <c r="B8" t="str">
        <f t="shared" si="0"/>
        <v>tcc gr lu PETC sp luc</v>
      </c>
      <c r="C8" s="7">
        <f t="shared" si="1"/>
        <v>3.5</v>
      </c>
      <c r="D8" t="s">
        <v>48</v>
      </c>
      <c r="E8">
        <v>-2.54014423063436E-2</v>
      </c>
      <c r="F8" t="s">
        <v>24</v>
      </c>
      <c r="G8">
        <v>-0.70457104175499496</v>
      </c>
      <c r="H8" t="s">
        <v>25</v>
      </c>
      <c r="I8">
        <v>6.8380743982494503E-3</v>
      </c>
      <c r="J8" t="s">
        <v>24</v>
      </c>
      <c r="K8">
        <v>2.8172866520787699E-2</v>
      </c>
      <c r="L8" t="s">
        <v>24</v>
      </c>
      <c r="M8">
        <v>-2.8993435448577701E-2</v>
      </c>
      <c r="N8" t="s">
        <v>26</v>
      </c>
      <c r="O8">
        <v>4.7866520787746197E-2</v>
      </c>
      <c r="P8" t="s">
        <v>24</v>
      </c>
      <c r="Q8">
        <v>-1.1352224240717701</v>
      </c>
      <c r="R8" t="s">
        <v>26</v>
      </c>
      <c r="S8">
        <v>-0.21123661560446699</v>
      </c>
      <c r="T8" t="s">
        <v>25</v>
      </c>
      <c r="U8">
        <v>0.65835429181364402</v>
      </c>
      <c r="V8" t="s">
        <v>25</v>
      </c>
      <c r="W8">
        <v>-1.1674277289661501</v>
      </c>
      <c r="X8" t="s">
        <v>26</v>
      </c>
      <c r="Y8">
        <v>6.09934972776029E-2</v>
      </c>
      <c r="Z8" t="s">
        <v>26</v>
      </c>
      <c r="AA8">
        <v>1.09409190371991E-3</v>
      </c>
      <c r="AB8" t="s">
        <v>24</v>
      </c>
      <c r="AC8" t="s">
        <v>132</v>
      </c>
    </row>
    <row r="9" spans="1:29" x14ac:dyDescent="0.35">
      <c r="A9">
        <v>8</v>
      </c>
      <c r="B9" t="str">
        <f t="shared" si="0"/>
        <v>gr grc lu TEC PETC luc</v>
      </c>
      <c r="C9" s="7">
        <f t="shared" si="1"/>
        <v>4</v>
      </c>
      <c r="E9">
        <v>-3.7001044037006298E-2</v>
      </c>
      <c r="F9" t="s">
        <v>25</v>
      </c>
      <c r="G9">
        <v>-0.736445988879324</v>
      </c>
      <c r="H9" t="s">
        <v>25</v>
      </c>
      <c r="I9">
        <v>0</v>
      </c>
      <c r="J9" t="s">
        <v>25</v>
      </c>
      <c r="K9">
        <v>0.16923076923076899</v>
      </c>
      <c r="L9" t="s">
        <v>24</v>
      </c>
      <c r="M9">
        <v>0.149450549450549</v>
      </c>
      <c r="N9" t="s">
        <v>24</v>
      </c>
      <c r="O9">
        <v>4.7032967032966999E-2</v>
      </c>
      <c r="P9" t="s">
        <v>24</v>
      </c>
      <c r="Q9">
        <v>-0.57426616728158997</v>
      </c>
      <c r="R9" t="s">
        <v>26</v>
      </c>
      <c r="S9">
        <v>0.83158278886964898</v>
      </c>
      <c r="T9" t="s">
        <v>24</v>
      </c>
      <c r="U9">
        <v>0.65167074857595497</v>
      </c>
      <c r="V9" t="s">
        <v>25</v>
      </c>
      <c r="W9">
        <v>-0.40552623185831199</v>
      </c>
      <c r="X9" t="s">
        <v>26</v>
      </c>
      <c r="Y9">
        <v>-0.165924750861805</v>
      </c>
      <c r="Z9" t="s">
        <v>26</v>
      </c>
      <c r="AA9">
        <v>7.4725274725274699E-3</v>
      </c>
      <c r="AB9" t="s">
        <v>24</v>
      </c>
      <c r="AC9" t="s">
        <v>132</v>
      </c>
    </row>
    <row r="10" spans="1:29" x14ac:dyDescent="0.35">
      <c r="A10">
        <v>9</v>
      </c>
      <c r="B10" t="str">
        <f t="shared" si="0"/>
        <v>gr grc lu TEC PETC SP luc</v>
      </c>
      <c r="C10" s="7">
        <f t="shared" si="1"/>
        <v>5</v>
      </c>
      <c r="D10" s="8" t="s">
        <v>53</v>
      </c>
      <c r="E10">
        <v>-3.11069699220505E-2</v>
      </c>
      <c r="F10" t="s">
        <v>24</v>
      </c>
      <c r="G10">
        <v>-0.73632632431154099</v>
      </c>
      <c r="H10" t="s">
        <v>25</v>
      </c>
      <c r="I10">
        <v>0</v>
      </c>
      <c r="J10" t="s">
        <v>25</v>
      </c>
      <c r="K10">
        <v>9.1243315508021394E-2</v>
      </c>
      <c r="L10" t="s">
        <v>24</v>
      </c>
      <c r="M10">
        <v>5.7820855614973299E-2</v>
      </c>
      <c r="N10" t="s">
        <v>24</v>
      </c>
      <c r="O10">
        <v>2.1390374331550801E-2</v>
      </c>
      <c r="P10" t="s">
        <v>24</v>
      </c>
      <c r="Q10">
        <v>-0.74787270614798895</v>
      </c>
      <c r="R10" t="s">
        <v>26</v>
      </c>
      <c r="S10">
        <v>0.790272144837876</v>
      </c>
      <c r="T10" t="s">
        <v>24</v>
      </c>
      <c r="U10">
        <v>0.66253655381321996</v>
      </c>
      <c r="V10" t="s">
        <v>25</v>
      </c>
      <c r="W10">
        <v>-0.454045886653141</v>
      </c>
      <c r="X10" t="s">
        <v>26</v>
      </c>
      <c r="Y10">
        <v>1.0737823332288501</v>
      </c>
      <c r="Z10" t="s">
        <v>24</v>
      </c>
      <c r="AA10">
        <v>6.6844919786096296E-4</v>
      </c>
      <c r="AB10" t="s">
        <v>24</v>
      </c>
      <c r="AC10" t="s">
        <v>132</v>
      </c>
    </row>
    <row r="11" spans="1:29" hidden="1" x14ac:dyDescent="0.35">
      <c r="A11">
        <v>10</v>
      </c>
      <c r="B11" t="str">
        <f t="shared" si="0"/>
        <v>gr lu PRC sp luc</v>
      </c>
      <c r="C11" s="7">
        <f t="shared" si="1"/>
        <v>3</v>
      </c>
      <c r="E11">
        <v>-3.7001044037006298E-2</v>
      </c>
      <c r="F11" t="s">
        <v>25</v>
      </c>
      <c r="G11">
        <v>-0.71614093693970204</v>
      </c>
      <c r="H11" t="s">
        <v>25</v>
      </c>
      <c r="I11">
        <v>0</v>
      </c>
      <c r="J11" t="s">
        <v>25</v>
      </c>
      <c r="K11">
        <v>0.24423134551992801</v>
      </c>
      <c r="L11" t="s">
        <v>24</v>
      </c>
      <c r="M11">
        <v>-3.2064728798321798E-2</v>
      </c>
      <c r="N11" t="s">
        <v>26</v>
      </c>
      <c r="O11">
        <v>1.7980221756068301E-3</v>
      </c>
      <c r="P11" t="s">
        <v>24</v>
      </c>
      <c r="Q11">
        <v>-0.18768765001431401</v>
      </c>
      <c r="R11" t="s">
        <v>25</v>
      </c>
      <c r="S11">
        <v>-0.237101163010392</v>
      </c>
      <c r="T11" t="s">
        <v>25</v>
      </c>
      <c r="U11">
        <v>-1.5906860968540399</v>
      </c>
      <c r="V11" t="s">
        <v>26</v>
      </c>
      <c r="W11">
        <v>2.0904347266301002</v>
      </c>
      <c r="X11" t="s">
        <v>24</v>
      </c>
      <c r="Y11">
        <v>0.27857605123195101</v>
      </c>
      <c r="Z11" t="s">
        <v>25</v>
      </c>
      <c r="AA11">
        <v>8.9901108780341603E-4</v>
      </c>
      <c r="AB11" t="s">
        <v>24</v>
      </c>
      <c r="AC11" t="s">
        <v>133</v>
      </c>
    </row>
    <row r="12" spans="1:29" x14ac:dyDescent="0.35">
      <c r="A12">
        <v>11</v>
      </c>
      <c r="B12" t="str">
        <f t="shared" si="0"/>
        <v>tcc gr grc lu pi PETC</v>
      </c>
      <c r="C12" s="7">
        <f t="shared" si="1"/>
        <v>3.5</v>
      </c>
      <c r="E12">
        <v>-9.4040855296462396E-3</v>
      </c>
      <c r="F12" t="s">
        <v>24</v>
      </c>
      <c r="G12">
        <v>-0.72570200961925602</v>
      </c>
      <c r="H12" t="s">
        <v>25</v>
      </c>
      <c r="I12">
        <v>1.46056475170399E-3</v>
      </c>
      <c r="J12" t="s">
        <v>24</v>
      </c>
      <c r="K12">
        <v>5.0146056475170397E-2</v>
      </c>
      <c r="L12" t="s">
        <v>24</v>
      </c>
      <c r="M12">
        <v>1.80136319376826E-2</v>
      </c>
      <c r="N12" t="s">
        <v>24</v>
      </c>
      <c r="O12">
        <v>2.0447906523855901E-2</v>
      </c>
      <c r="P12" t="s">
        <v>24</v>
      </c>
      <c r="Q12">
        <v>8.0639178064752307E-2</v>
      </c>
      <c r="R12" t="s">
        <v>25</v>
      </c>
      <c r="S12">
        <v>-0.102463641210313</v>
      </c>
      <c r="T12" t="s">
        <v>25</v>
      </c>
      <c r="U12">
        <v>0.79952343269194204</v>
      </c>
      <c r="V12" t="s">
        <v>24</v>
      </c>
      <c r="W12">
        <v>-1.2312406501829201</v>
      </c>
      <c r="X12" t="s">
        <v>26</v>
      </c>
      <c r="Y12">
        <v>-6.0991044214185497E-2</v>
      </c>
      <c r="Z12" t="s">
        <v>26</v>
      </c>
      <c r="AA12">
        <v>0</v>
      </c>
      <c r="AB12" t="s">
        <v>25</v>
      </c>
      <c r="AC12" t="s">
        <v>132</v>
      </c>
    </row>
    <row r="13" spans="1:29" hidden="1" x14ac:dyDescent="0.35">
      <c r="A13">
        <v>12</v>
      </c>
      <c r="B13" t="str">
        <f t="shared" si="0"/>
        <v>LIC gr lu petc luc</v>
      </c>
      <c r="C13" s="7">
        <f t="shared" si="1"/>
        <v>3</v>
      </c>
      <c r="E13">
        <v>26.1050054864921</v>
      </c>
      <c r="F13" t="s">
        <v>24</v>
      </c>
      <c r="G13">
        <v>-0.72411332932408001</v>
      </c>
      <c r="H13" t="s">
        <v>25</v>
      </c>
      <c r="I13">
        <v>0</v>
      </c>
      <c r="J13" t="s">
        <v>25</v>
      </c>
      <c r="K13">
        <v>4.1095890410958902E-2</v>
      </c>
      <c r="L13" t="s">
        <v>24</v>
      </c>
      <c r="M13">
        <v>0</v>
      </c>
      <c r="N13" t="s">
        <v>25</v>
      </c>
      <c r="O13">
        <v>0.164383561643836</v>
      </c>
      <c r="P13" t="s">
        <v>24</v>
      </c>
      <c r="Q13">
        <v>-0.89500481315467295</v>
      </c>
      <c r="R13" t="s">
        <v>26</v>
      </c>
      <c r="S13">
        <v>-0.15997835576112601</v>
      </c>
      <c r="T13" t="s">
        <v>25</v>
      </c>
      <c r="U13">
        <v>0.147320486970166</v>
      </c>
      <c r="V13" t="s">
        <v>25</v>
      </c>
      <c r="W13">
        <v>-0.37840000102828603</v>
      </c>
      <c r="X13" t="s">
        <v>26</v>
      </c>
      <c r="Y13">
        <v>-0.208178262981429</v>
      </c>
      <c r="Z13" t="s">
        <v>26</v>
      </c>
      <c r="AA13">
        <v>6.8493150684931503E-2</v>
      </c>
      <c r="AB13" t="s">
        <v>24</v>
      </c>
      <c r="AC13" t="s">
        <v>133</v>
      </c>
    </row>
    <row r="14" spans="1:29" x14ac:dyDescent="0.35">
      <c r="A14">
        <v>13</v>
      </c>
      <c r="B14" t="str">
        <f t="shared" si="0"/>
        <v>gr lu TEC PETC luc</v>
      </c>
      <c r="C14" s="7">
        <f t="shared" si="1"/>
        <v>3.5</v>
      </c>
      <c r="E14">
        <v>-2.6511925010758601E-2</v>
      </c>
      <c r="F14" t="s">
        <v>24</v>
      </c>
      <c r="G14">
        <v>-0.68365213968431704</v>
      </c>
      <c r="H14" t="s">
        <v>25</v>
      </c>
      <c r="I14">
        <v>0</v>
      </c>
      <c r="J14" t="s">
        <v>25</v>
      </c>
      <c r="K14">
        <v>0.28766086298258903</v>
      </c>
      <c r="L14" t="s">
        <v>24</v>
      </c>
      <c r="M14">
        <v>-6.8887206661620001E-2</v>
      </c>
      <c r="N14" t="s">
        <v>26</v>
      </c>
      <c r="O14">
        <v>3.5579106737320197E-2</v>
      </c>
      <c r="P14" t="s">
        <v>24</v>
      </c>
      <c r="Q14">
        <v>-0.35180583535633098</v>
      </c>
      <c r="R14" t="s">
        <v>26</v>
      </c>
      <c r="S14">
        <v>1.2401488185023899</v>
      </c>
      <c r="T14" t="s">
        <v>24</v>
      </c>
      <c r="U14">
        <v>1.0186357519123199</v>
      </c>
      <c r="V14" t="s">
        <v>24</v>
      </c>
      <c r="W14">
        <v>-0.43584020587236499</v>
      </c>
      <c r="X14" t="s">
        <v>26</v>
      </c>
      <c r="Y14">
        <v>-1.89026607995711</v>
      </c>
      <c r="Z14" t="s">
        <v>26</v>
      </c>
      <c r="AA14">
        <v>2.2710068130204399E-3</v>
      </c>
      <c r="AB14" t="s">
        <v>24</v>
      </c>
      <c r="AC14" t="s">
        <v>132</v>
      </c>
    </row>
    <row r="15" spans="1:29" x14ac:dyDescent="0.35">
      <c r="A15">
        <v>14</v>
      </c>
      <c r="B15" t="str">
        <f t="shared" si="0"/>
        <v>TC tcc gr grc lu PRC</v>
      </c>
      <c r="C15" s="7">
        <f t="shared" si="1"/>
        <v>4</v>
      </c>
      <c r="E15">
        <v>-3.7001044037006298E-2</v>
      </c>
      <c r="F15" t="s">
        <v>25</v>
      </c>
      <c r="G15">
        <v>1.3196607378031699</v>
      </c>
      <c r="H15" t="s">
        <v>24</v>
      </c>
      <c r="I15">
        <v>1.7615325333039699E-3</v>
      </c>
      <c r="J15" t="s">
        <v>24</v>
      </c>
      <c r="K15">
        <v>3.9634481999339397E-3</v>
      </c>
      <c r="L15" t="s">
        <v>24</v>
      </c>
      <c r="M15">
        <v>1.10095783331498E-2</v>
      </c>
      <c r="N15" t="s">
        <v>24</v>
      </c>
      <c r="O15">
        <v>1.9817240999669698E-3</v>
      </c>
      <c r="P15" t="s">
        <v>24</v>
      </c>
      <c r="Q15">
        <v>-3.8249412895483302E-4</v>
      </c>
      <c r="R15" t="s">
        <v>25</v>
      </c>
      <c r="S15">
        <v>-1.39125003838381</v>
      </c>
      <c r="T15" t="s">
        <v>26</v>
      </c>
      <c r="U15">
        <v>-1.0215798091065</v>
      </c>
      <c r="V15" t="s">
        <v>26</v>
      </c>
      <c r="W15">
        <v>0.56577153165796801</v>
      </c>
      <c r="X15" t="s">
        <v>25</v>
      </c>
      <c r="Y15">
        <v>-0.40900734055557803</v>
      </c>
      <c r="Z15" t="s">
        <v>26</v>
      </c>
      <c r="AA15">
        <v>0</v>
      </c>
      <c r="AB15" t="s">
        <v>25</v>
      </c>
      <c r="AC15" t="s">
        <v>132</v>
      </c>
    </row>
    <row r="16" spans="1:29" x14ac:dyDescent="0.35">
      <c r="A16">
        <v>15</v>
      </c>
      <c r="B16" t="str">
        <f t="shared" si="0"/>
        <v>tcc GR lu PRC SP luc</v>
      </c>
      <c r="C16" s="7">
        <f t="shared" si="1"/>
        <v>4.5</v>
      </c>
      <c r="D16" t="s">
        <v>50</v>
      </c>
      <c r="E16">
        <v>-2.67050719139936E-2</v>
      </c>
      <c r="F16" t="s">
        <v>24</v>
      </c>
      <c r="G16">
        <v>-0.49407259213266103</v>
      </c>
      <c r="H16" t="s">
        <v>25</v>
      </c>
      <c r="I16">
        <v>1.37931034482759E-2</v>
      </c>
      <c r="J16" t="s">
        <v>24</v>
      </c>
      <c r="K16">
        <v>0.90191570881226102</v>
      </c>
      <c r="L16" t="s">
        <v>24</v>
      </c>
      <c r="M16">
        <v>-0.64827586206896504</v>
      </c>
      <c r="N16" t="s">
        <v>26</v>
      </c>
      <c r="O16">
        <v>1.6858237547892702E-2</v>
      </c>
      <c r="P16" t="s">
        <v>24</v>
      </c>
      <c r="Q16">
        <v>-1.24200217344576E-2</v>
      </c>
      <c r="R16" t="s">
        <v>25</v>
      </c>
      <c r="S16">
        <v>-1.18048900976416</v>
      </c>
      <c r="T16" t="s">
        <v>26</v>
      </c>
      <c r="U16">
        <v>-1.15047643216092</v>
      </c>
      <c r="V16" t="s">
        <v>26</v>
      </c>
      <c r="W16">
        <v>0.75138296902419999</v>
      </c>
      <c r="X16" t="s">
        <v>24</v>
      </c>
      <c r="Y16">
        <v>0.66813899736196203</v>
      </c>
      <c r="Z16" t="s">
        <v>24</v>
      </c>
      <c r="AA16">
        <v>3.8314176245210702E-4</v>
      </c>
      <c r="AB16" t="s">
        <v>24</v>
      </c>
      <c r="AC16" t="s">
        <v>132</v>
      </c>
    </row>
    <row r="17" spans="1:29" x14ac:dyDescent="0.35">
      <c r="A17">
        <v>16</v>
      </c>
      <c r="B17" t="str">
        <f t="shared" si="0"/>
        <v>gr lu PI PRC sp luc</v>
      </c>
      <c r="C17" s="7">
        <f t="shared" si="1"/>
        <v>4</v>
      </c>
      <c r="D17" t="s">
        <v>48</v>
      </c>
      <c r="E17">
        <v>-3.7001044037006298E-2</v>
      </c>
      <c r="F17" t="s">
        <v>25</v>
      </c>
      <c r="G17">
        <v>-0.47480270633142402</v>
      </c>
      <c r="H17" t="s">
        <v>25</v>
      </c>
      <c r="I17">
        <v>0</v>
      </c>
      <c r="J17" t="s">
        <v>25</v>
      </c>
      <c r="K17">
        <v>0.22062350119904101</v>
      </c>
      <c r="L17" t="s">
        <v>24</v>
      </c>
      <c r="M17">
        <v>-9.5923261390887301E-3</v>
      </c>
      <c r="N17" t="s">
        <v>26</v>
      </c>
      <c r="O17">
        <v>7.9936051159072697E-4</v>
      </c>
      <c r="P17" t="s">
        <v>24</v>
      </c>
      <c r="Q17">
        <v>2.2274468182586</v>
      </c>
      <c r="R17" t="s">
        <v>24</v>
      </c>
      <c r="S17">
        <v>-0.62931880800057105</v>
      </c>
      <c r="T17" t="s">
        <v>26</v>
      </c>
      <c r="U17">
        <v>-1.27993595827424</v>
      </c>
      <c r="V17" t="s">
        <v>26</v>
      </c>
      <c r="W17">
        <v>1.35874916558246</v>
      </c>
      <c r="X17" t="s">
        <v>24</v>
      </c>
      <c r="Y17">
        <v>0.49024698748511403</v>
      </c>
      <c r="Z17" t="s">
        <v>25</v>
      </c>
      <c r="AA17">
        <v>3.9968025579536402E-4</v>
      </c>
      <c r="AB17" t="s">
        <v>24</v>
      </c>
      <c r="AC17" t="s">
        <v>132</v>
      </c>
    </row>
    <row r="18" spans="1:29" hidden="1" x14ac:dyDescent="0.35">
      <c r="A18">
        <v>17</v>
      </c>
      <c r="B18" t="str">
        <f t="shared" si="0"/>
        <v>tcc gr lu PRC luc</v>
      </c>
      <c r="C18" s="7">
        <f t="shared" si="1"/>
        <v>3</v>
      </c>
      <c r="E18">
        <v>-1.6790926557990998E-2</v>
      </c>
      <c r="F18" t="s">
        <v>24</v>
      </c>
      <c r="G18">
        <v>-0.58385993294916805</v>
      </c>
      <c r="H18" t="s">
        <v>25</v>
      </c>
      <c r="I18">
        <v>3.5269709543568499E-2</v>
      </c>
      <c r="J18" t="s">
        <v>24</v>
      </c>
      <c r="K18">
        <v>0.18215767634854799</v>
      </c>
      <c r="L18" t="s">
        <v>24</v>
      </c>
      <c r="M18">
        <v>-0.10124481327800799</v>
      </c>
      <c r="N18" t="s">
        <v>26</v>
      </c>
      <c r="O18">
        <v>2.9875518672199199E-2</v>
      </c>
      <c r="P18" t="s">
        <v>24</v>
      </c>
      <c r="Q18">
        <v>-0.50592490716523297</v>
      </c>
      <c r="R18" t="s">
        <v>26</v>
      </c>
      <c r="S18">
        <v>-1.1172345699114099</v>
      </c>
      <c r="T18" t="s">
        <v>26</v>
      </c>
      <c r="U18">
        <v>-0.99022335754915503</v>
      </c>
      <c r="V18" t="s">
        <v>26</v>
      </c>
      <c r="W18">
        <v>0.64357082169238899</v>
      </c>
      <c r="X18" t="s">
        <v>25</v>
      </c>
      <c r="Y18">
        <v>-1.07158059526848</v>
      </c>
      <c r="Z18" t="s">
        <v>26</v>
      </c>
      <c r="AA18">
        <v>2.0746887966805001E-3</v>
      </c>
      <c r="AB18" t="s">
        <v>24</v>
      </c>
      <c r="AC18" t="s">
        <v>134</v>
      </c>
    </row>
    <row r="19" spans="1:29" x14ac:dyDescent="0.35">
      <c r="A19">
        <v>18</v>
      </c>
      <c r="B19" t="str">
        <f t="shared" si="0"/>
        <v>TC tcc gr grc lu pi PETC sp</v>
      </c>
      <c r="C19" s="7">
        <f t="shared" si="1"/>
        <v>5</v>
      </c>
      <c r="D19" t="s">
        <v>53</v>
      </c>
      <c r="E19">
        <v>-3.7001044037006298E-2</v>
      </c>
      <c r="F19" t="s">
        <v>25</v>
      </c>
      <c r="G19">
        <v>1.32915910402767</v>
      </c>
      <c r="H19" t="s">
        <v>24</v>
      </c>
      <c r="I19">
        <v>1.7882689556509299E-3</v>
      </c>
      <c r="J19" t="s">
        <v>24</v>
      </c>
      <c r="K19">
        <v>1.35908440629471E-2</v>
      </c>
      <c r="L19" t="s">
        <v>24</v>
      </c>
      <c r="M19">
        <v>1.3233190271816899E-2</v>
      </c>
      <c r="N19" t="s">
        <v>24</v>
      </c>
      <c r="O19">
        <v>7.8683834048640898E-3</v>
      </c>
      <c r="P19" t="s">
        <v>24</v>
      </c>
      <c r="Q19">
        <v>0.42424242782319499</v>
      </c>
      <c r="R19" t="s">
        <v>24</v>
      </c>
      <c r="S19">
        <v>-0.13199626667871101</v>
      </c>
      <c r="T19" t="s">
        <v>25</v>
      </c>
      <c r="U19">
        <v>0.60702990271036505</v>
      </c>
      <c r="V19" t="s">
        <v>25</v>
      </c>
      <c r="W19">
        <v>-1.05950131204041</v>
      </c>
      <c r="X19" t="s">
        <v>26</v>
      </c>
      <c r="Y19">
        <v>0.31949740038311403</v>
      </c>
      <c r="Z19" t="s">
        <v>25</v>
      </c>
      <c r="AA19">
        <v>0</v>
      </c>
      <c r="AB19" t="s">
        <v>25</v>
      </c>
      <c r="AC19" t="s">
        <v>132</v>
      </c>
    </row>
    <row r="20" spans="1:29" x14ac:dyDescent="0.35">
      <c r="A20">
        <v>19</v>
      </c>
      <c r="B20" t="str">
        <f t="shared" si="0"/>
        <v>tcc gr grc lu PI PRC SP</v>
      </c>
      <c r="C20" s="7">
        <f t="shared" si="1"/>
        <v>5</v>
      </c>
      <c r="D20" t="s">
        <v>53</v>
      </c>
      <c r="E20">
        <v>-3.7001044037006298E-2</v>
      </c>
      <c r="F20" t="s">
        <v>25</v>
      </c>
      <c r="G20">
        <v>-0.71871150757509605</v>
      </c>
      <c r="H20" t="s">
        <v>25</v>
      </c>
      <c r="I20">
        <v>4.6260601387817998E-3</v>
      </c>
      <c r="J20" t="s">
        <v>24</v>
      </c>
      <c r="K20">
        <v>6.2837316885119496E-2</v>
      </c>
      <c r="L20" t="s">
        <v>24</v>
      </c>
      <c r="M20">
        <v>0.12875867386275999</v>
      </c>
      <c r="N20" t="s">
        <v>24</v>
      </c>
      <c r="O20">
        <v>5.3970701619121004E-3</v>
      </c>
      <c r="P20" t="s">
        <v>24</v>
      </c>
      <c r="Q20">
        <v>0.54164810054693202</v>
      </c>
      <c r="R20" t="s">
        <v>24</v>
      </c>
      <c r="S20">
        <v>-1.02516735231328</v>
      </c>
      <c r="T20" t="s">
        <v>26</v>
      </c>
      <c r="U20">
        <v>-1.0495094962670599</v>
      </c>
      <c r="V20" t="s">
        <v>26</v>
      </c>
      <c r="W20">
        <v>0.72772834290320298</v>
      </c>
      <c r="X20" t="s">
        <v>24</v>
      </c>
      <c r="Y20">
        <v>0.72487463657864903</v>
      </c>
      <c r="Z20" t="s">
        <v>24</v>
      </c>
      <c r="AA20">
        <v>0</v>
      </c>
      <c r="AB20" t="s">
        <v>25</v>
      </c>
      <c r="AC20" t="s">
        <v>132</v>
      </c>
    </row>
    <row r="21" spans="1:29" hidden="1" x14ac:dyDescent="0.35">
      <c r="A21">
        <v>20</v>
      </c>
      <c r="B21" t="str">
        <f t="shared" si="0"/>
        <v>gr lu PETC</v>
      </c>
      <c r="C21" s="7">
        <f t="shared" si="1"/>
        <v>2</v>
      </c>
      <c r="E21">
        <v>-3.7001044037006298E-2</v>
      </c>
      <c r="F21" t="s">
        <v>25</v>
      </c>
      <c r="G21">
        <v>-0.71307780000591003</v>
      </c>
      <c r="H21" t="s">
        <v>25</v>
      </c>
      <c r="I21">
        <v>0</v>
      </c>
      <c r="J21" t="s">
        <v>25</v>
      </c>
      <c r="K21">
        <v>4.5433033601514398E-2</v>
      </c>
      <c r="L21" t="s">
        <v>24</v>
      </c>
      <c r="M21">
        <v>-3.4074775201135797E-2</v>
      </c>
      <c r="N21" t="s">
        <v>26</v>
      </c>
      <c r="O21">
        <v>0.11973497397065801</v>
      </c>
      <c r="P21" t="s">
        <v>24</v>
      </c>
      <c r="Q21">
        <v>-1.0614656225630901</v>
      </c>
      <c r="R21" t="s">
        <v>26</v>
      </c>
      <c r="S21">
        <v>-0.18291448505105901</v>
      </c>
      <c r="T21" t="s">
        <v>25</v>
      </c>
      <c r="U21">
        <v>0.65610047567237195</v>
      </c>
      <c r="V21" t="s">
        <v>25</v>
      </c>
      <c r="W21">
        <v>-1.1449867618879499</v>
      </c>
      <c r="X21" t="s">
        <v>26</v>
      </c>
      <c r="Y21">
        <v>-1.27605495615397</v>
      </c>
      <c r="Z21" t="s">
        <v>26</v>
      </c>
      <c r="AA21">
        <v>0</v>
      </c>
      <c r="AB21" t="s">
        <v>25</v>
      </c>
      <c r="AC21" t="s">
        <v>133</v>
      </c>
    </row>
    <row r="22" spans="1:29" x14ac:dyDescent="0.35">
      <c r="A22">
        <v>21</v>
      </c>
      <c r="B22" t="str">
        <f t="shared" si="0"/>
        <v>tcc gr grc lu PRC SP luc</v>
      </c>
      <c r="C22" s="7">
        <f t="shared" si="1"/>
        <v>4.5</v>
      </c>
      <c r="D22" t="s">
        <v>50</v>
      </c>
      <c r="E22">
        <v>-3.3745524532693499E-2</v>
      </c>
      <c r="F22" t="s">
        <v>24</v>
      </c>
      <c r="G22">
        <v>-0.67230666118642701</v>
      </c>
      <c r="H22" t="s">
        <v>25</v>
      </c>
      <c r="I22">
        <v>1.5695915279879E-2</v>
      </c>
      <c r="J22" t="s">
        <v>24</v>
      </c>
      <c r="K22">
        <v>1.8532526475037801E-2</v>
      </c>
      <c r="L22" t="s">
        <v>24</v>
      </c>
      <c r="M22">
        <v>3.6875945537065101E-2</v>
      </c>
      <c r="N22" t="s">
        <v>24</v>
      </c>
      <c r="O22">
        <v>3.0635400907715601E-2</v>
      </c>
      <c r="P22" t="s">
        <v>24</v>
      </c>
      <c r="Q22">
        <v>-0.79576800368650402</v>
      </c>
      <c r="R22" t="s">
        <v>26</v>
      </c>
      <c r="S22">
        <v>-1.1517644403110401</v>
      </c>
      <c r="T22" t="s">
        <v>26</v>
      </c>
      <c r="U22">
        <v>-1.09785179903622</v>
      </c>
      <c r="V22" t="s">
        <v>26</v>
      </c>
      <c r="W22">
        <v>0.71902832768298897</v>
      </c>
      <c r="X22" t="s">
        <v>24</v>
      </c>
      <c r="Y22">
        <v>0.72602907515762505</v>
      </c>
      <c r="Z22" t="s">
        <v>24</v>
      </c>
      <c r="AA22">
        <v>3.7821482602117998E-4</v>
      </c>
      <c r="AB22" t="s">
        <v>24</v>
      </c>
      <c r="AC22" t="s">
        <v>132</v>
      </c>
    </row>
    <row r="24" spans="1:29" x14ac:dyDescent="0.35">
      <c r="A24" t="s">
        <v>106</v>
      </c>
      <c r="E24">
        <f>AVERAGE(E2:E22)</f>
        <v>1.2139396542939258</v>
      </c>
      <c r="G24">
        <f>AVERAGE(G2:G22)</f>
        <v>-0.44204942948589571</v>
      </c>
      <c r="I24">
        <f>AVERAGE(I2:I22)</f>
        <v>3.8682490023530256E-3</v>
      </c>
      <c r="K24">
        <f>AVERAGE(K2:K22)</f>
        <v>0.22013511964154173</v>
      </c>
      <c r="M24">
        <f>AVERAGE(M2:M22)</f>
        <v>-6.1625470541059164E-2</v>
      </c>
      <c r="O24">
        <f>AVERAGE(O2:O22)</f>
        <v>3.1226269890151155E-2</v>
      </c>
      <c r="Q24">
        <f>AVERAGE(Q2:Q22)</f>
        <v>-2.9789339865538243E-2</v>
      </c>
      <c r="S24">
        <f>AVERAGE(S2:S22)</f>
        <v>-0.17208980891677081</v>
      </c>
      <c r="U24">
        <f>AVERAGE(U2:U22)</f>
        <v>-4.2621063147652301E-2</v>
      </c>
      <c r="W24">
        <f>AVERAGE(W2:W22)</f>
        <v>-8.7867852098547583E-2</v>
      </c>
      <c r="Y24">
        <f>AVERAGE(Y2:Y22)</f>
        <v>-0.31243441522281901</v>
      </c>
      <c r="AA24">
        <f>AVERAGE(AA2:AA22)</f>
        <v>4.4075401540272516E-3</v>
      </c>
      <c r="AC24" t="s">
        <v>132</v>
      </c>
    </row>
    <row r="35" spans="1:3" x14ac:dyDescent="0.35">
      <c r="A35" s="3"/>
    </row>
    <row r="36" spans="1:3" x14ac:dyDescent="0.35">
      <c r="A36" t="s">
        <v>73</v>
      </c>
    </row>
    <row r="37" spans="1:3" x14ac:dyDescent="0.35">
      <c r="A37" t="s">
        <v>136</v>
      </c>
      <c r="B37" t="s">
        <v>137</v>
      </c>
    </row>
    <row r="38" spans="1:3" x14ac:dyDescent="0.35">
      <c r="A38" t="s">
        <v>138</v>
      </c>
      <c r="B38" s="6" t="s">
        <v>139</v>
      </c>
      <c r="C38" t="s">
        <v>75</v>
      </c>
    </row>
    <row r="39" spans="1:3" x14ac:dyDescent="0.35">
      <c r="A39" t="s">
        <v>140</v>
      </c>
      <c r="B39" s="6" t="s">
        <v>141</v>
      </c>
      <c r="C39" t="s">
        <v>77</v>
      </c>
    </row>
    <row r="40" spans="1:3" x14ac:dyDescent="0.35">
      <c r="A40" t="s">
        <v>142</v>
      </c>
      <c r="B40" s="6" t="s">
        <v>143</v>
      </c>
      <c r="C40" t="s">
        <v>79</v>
      </c>
    </row>
    <row r="41" spans="1:3" x14ac:dyDescent="0.35">
      <c r="A41" t="s">
        <v>144</v>
      </c>
      <c r="B41" s="6" t="s">
        <v>145</v>
      </c>
      <c r="C41" t="s">
        <v>81</v>
      </c>
    </row>
    <row r="42" spans="1:3" x14ac:dyDescent="0.35">
      <c r="A42" t="s">
        <v>146</v>
      </c>
      <c r="B42" s="6" t="s">
        <v>147</v>
      </c>
      <c r="C42" t="s">
        <v>83</v>
      </c>
    </row>
    <row r="43" spans="1:3" x14ac:dyDescent="0.35">
      <c r="A43" t="s">
        <v>148</v>
      </c>
      <c r="B43" s="6" t="s">
        <v>149</v>
      </c>
      <c r="C43" t="s">
        <v>85</v>
      </c>
    </row>
    <row r="44" spans="1:3" x14ac:dyDescent="0.35">
      <c r="A44" t="s">
        <v>150</v>
      </c>
      <c r="B44" s="6" t="s">
        <v>151</v>
      </c>
      <c r="C44" t="s">
        <v>87</v>
      </c>
    </row>
    <row r="45" spans="1:3" x14ac:dyDescent="0.35">
      <c r="A45" t="s">
        <v>152</v>
      </c>
      <c r="B45" s="6" t="s">
        <v>153</v>
      </c>
      <c r="C45" t="s">
        <v>89</v>
      </c>
    </row>
    <row r="46" spans="1:3" x14ac:dyDescent="0.35">
      <c r="A46" t="s">
        <v>154</v>
      </c>
      <c r="B46" s="6" t="s">
        <v>155</v>
      </c>
      <c r="C46" t="s">
        <v>91</v>
      </c>
    </row>
    <row r="47" spans="1:3" x14ac:dyDescent="0.35">
      <c r="A47" t="s">
        <v>156</v>
      </c>
      <c r="B47" s="6" t="s">
        <v>98</v>
      </c>
      <c r="C47" t="s">
        <v>93</v>
      </c>
    </row>
    <row r="48" spans="1:3" x14ac:dyDescent="0.35">
      <c r="A48" t="s">
        <v>157</v>
      </c>
      <c r="B48" s="6" t="s">
        <v>158</v>
      </c>
      <c r="C48" t="s">
        <v>95</v>
      </c>
    </row>
    <row r="49" spans="1:3" x14ac:dyDescent="0.35">
      <c r="A49" t="s">
        <v>159</v>
      </c>
      <c r="B49" s="6" t="s">
        <v>160</v>
      </c>
      <c r="C49" t="s">
        <v>97</v>
      </c>
    </row>
  </sheetData>
  <autoFilter ref="A1:AC22" xr:uid="{D3A0CA49-E212-4387-8F38-D8F3AAFD7014}">
    <filterColumn colId="28">
      <filters>
        <filter val="high attention"/>
      </filters>
    </filterColumn>
  </autoFilter>
  <conditionalFormatting sqref="E2:E22">
    <cfRule type="colorScale" priority="1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E24">
    <cfRule type="colorScale" priority="1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G2:G22">
    <cfRule type="colorScale" priority="1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G24 AA24 Y24 W24 U24 S24 Q24 O24 M24 K24 I24">
    <cfRule type="colorScale" priority="1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I2:I22">
    <cfRule type="colorScale" priority="10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K2:K22">
    <cfRule type="colorScale" priority="9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M2:M22">
    <cfRule type="colorScale" priority="8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O2:O22">
    <cfRule type="colorScale" priority="7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Q2:Q22">
    <cfRule type="colorScale" priority="6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S2:S22">
    <cfRule type="colorScale" priority="5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U2:U22">
    <cfRule type="colorScale" priority="4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W2:W22">
    <cfRule type="colorScale" priority="3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Y2:Y22">
    <cfRule type="colorScale" priority="2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conditionalFormatting sqref="AA2:AA22">
    <cfRule type="colorScale" priority="1">
      <colorScale>
        <cfvo type="num" val="0"/>
        <cfvo type="num" val="0.4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E322-D89B-4F00-9443-2053ECD3231D}">
  <sheetPr filterMode="1"/>
  <dimension ref="A1:AQ33"/>
  <sheetViews>
    <sheetView tabSelected="1" zoomScale="85" zoomScaleNormal="85" workbookViewId="0">
      <pane xSplit="4" ySplit="1" topLeftCell="M2" activePane="bottomRight" state="frozen"/>
      <selection pane="topRight" activeCell="E1" sqref="E1"/>
      <selection pane="bottomLeft" activeCell="A2" sqref="A2"/>
      <selection pane="bottomRight" activeCell="AE35" sqref="AE35"/>
    </sheetView>
  </sheetViews>
  <sheetFormatPr defaultRowHeight="14.5" x14ac:dyDescent="0.35"/>
  <cols>
    <col min="1" max="1" width="12.08984375" bestFit="1" customWidth="1"/>
    <col min="2" max="2" width="23.26953125" customWidth="1"/>
    <col min="3" max="3" width="20.36328125" customWidth="1"/>
    <col min="4" max="4" width="15.26953125" bestFit="1" customWidth="1"/>
  </cols>
  <sheetData>
    <row r="1" spans="1:43" x14ac:dyDescent="0.35">
      <c r="A1" t="s">
        <v>0</v>
      </c>
      <c r="B1" t="s">
        <v>128</v>
      </c>
      <c r="C1" t="s">
        <v>135</v>
      </c>
      <c r="D1" t="s">
        <v>129</v>
      </c>
      <c r="E1" t="s">
        <v>1</v>
      </c>
      <c r="F1" t="s">
        <v>161</v>
      </c>
      <c r="G1" t="s">
        <v>2</v>
      </c>
      <c r="H1" t="s">
        <v>3</v>
      </c>
      <c r="I1" t="s">
        <v>162</v>
      </c>
      <c r="J1" t="s">
        <v>71</v>
      </c>
      <c r="K1" t="s">
        <v>4</v>
      </c>
      <c r="L1" t="s">
        <v>163</v>
      </c>
      <c r="M1" t="s">
        <v>5</v>
      </c>
      <c r="N1" t="s">
        <v>6</v>
      </c>
      <c r="O1" t="s">
        <v>164</v>
      </c>
      <c r="P1" t="s">
        <v>7</v>
      </c>
      <c r="Q1" t="s">
        <v>8</v>
      </c>
      <c r="R1" t="s">
        <v>165</v>
      </c>
      <c r="S1" t="s">
        <v>9</v>
      </c>
      <c r="T1" t="s">
        <v>10</v>
      </c>
      <c r="U1" t="s">
        <v>166</v>
      </c>
      <c r="V1" t="s">
        <v>11</v>
      </c>
      <c r="W1" t="s">
        <v>72</v>
      </c>
      <c r="X1" t="s">
        <v>167</v>
      </c>
      <c r="Y1" t="s">
        <v>12</v>
      </c>
      <c r="Z1" t="s">
        <v>13</v>
      </c>
      <c r="AA1" t="s">
        <v>168</v>
      </c>
      <c r="AB1" t="s">
        <v>14</v>
      </c>
      <c r="AC1" t="s">
        <v>15</v>
      </c>
      <c r="AD1" t="s">
        <v>169</v>
      </c>
      <c r="AE1" t="s">
        <v>16</v>
      </c>
      <c r="AF1" t="s">
        <v>17</v>
      </c>
      <c r="AG1" t="s">
        <v>170</v>
      </c>
      <c r="AH1" t="s">
        <v>18</v>
      </c>
      <c r="AI1" t="s">
        <v>19</v>
      </c>
      <c r="AJ1" t="s">
        <v>171</v>
      </c>
      <c r="AK1" t="s">
        <v>20</v>
      </c>
      <c r="AL1" t="s">
        <v>21</v>
      </c>
      <c r="AM1" t="s">
        <v>172</v>
      </c>
      <c r="AN1" t="s">
        <v>22</v>
      </c>
      <c r="AO1" t="s">
        <v>131</v>
      </c>
    </row>
    <row r="2" spans="1:43" hidden="1" x14ac:dyDescent="0.35">
      <c r="A2">
        <v>1</v>
      </c>
      <c r="B2" t="str">
        <f>_xlfn.TEXTJOIN(" ",TRUE,
    IF(E2&lt;=($E$18+$F$18/2), "", IF(E2&gt;($E$18+$F$18), $B$22, $A$22)),
    IF(H2&lt;=($H$18+$I$18/2), "", IF(H2&gt;($H$18+$I$18), $B$23, $A$23)),
    IF(K2&lt;=($K$18+$L$18/2), "", IF(K2&gt;($K$18+$L$18), $B$24, $A$24)),
    IF(N2&lt;=($N$18+$O$18/2), "", IF(N2&gt;($N$18+$O$18), $B$25, $A$25)),
    IF(Q2&lt;=($Q$18+$R$18/2), "", IF(Q2&gt;($Q$18+$R$18), $B$26, $A$26)),
    IF(T2&lt;=($T$18+$U$18/2), "", IF(T2&gt;($T$18+$U$18), $B$27, $A$27)),
    IF(W2&lt;=($W$18+$X$18/2), "", IF(W2&gt;($W$18+$X$18), $B$28, $A$28)),
    IF(Z2&lt;=($Z$18+$AA$18/2), "", IF(Z2&gt;($Z$18+$AA$18), $B$29, $A$29)),
    IF(AC2&lt;=($AC$18+$AD$18/2), "", IF(AC2&gt;($AC$18+$AD$18), $B$30, $A$30)),
    IF(AF2&lt;=($AF$18+$AG$18/2), "", IF(AF2&gt;($AF$18+$AG$18), $B$31, $A$31)),
    IF(AI2&lt;=($AI$18+$AJ$18/2), "", IF(AI2&gt;($AI$18+$AJ$18), $B$32, $A$32)),
    IF(AL2&lt;=($AL$18+$AM$18/2), "", IF(AL2&gt;($AL$18+$AM$18), $B$33, $A$33))
)</f>
        <v>grc PRC</v>
      </c>
      <c r="C2" s="7">
        <f>SUM(IF(E2&lt;=($E$18+$F$18/2),0,IF(E2&gt;($E$18+$F$18),1,0.5)),
IF(H2&lt;=($H$18+$I$18/2),0,IF(H2&gt;($H$18+$I$18),1,0.5)),
IF(K2&lt;=($K$18+$L$18/2),0,IF(K2&gt;($K$18+$L$18),1,0.5)),
IF(N2&lt;=($N$18+$O$18/2),0,IF(N2&gt;($N$18+$O$18),1,0.5)),
IF(Q2&lt;=($Q$18+$R$18/2),0,IF(Q2&gt;($Q$18+$R$18),1,0.5)),
IF(T2&lt;=($T$18+$U$18/2),0,IF(T2&gt;($T$18+$U$18),1,0.5)),
IF(W2&lt;=($W$18+$X$18/2),0,IF(W2&gt;($W$18+$X$18),1,0.5)),
IF(Z2&lt;=($Z$18+$AA$18/2),0,IF(Z2&gt;($Z$18+$AA$18),1,0.5)),
IF(AC2&lt;=($AC$18+$AD$18/2),0,IF(AC2&gt;($AC$18+$AD$18),1,0.5)),
IF(AF2&lt;=($AF$18+$AG$18/2),0,IF(AF2&gt;($AF$18+$AG$18),1,0.5)),
IF(AI2&lt;=($AI$18+$AJ$18/2),0,IF(AI2&gt;($AI$18+$AJ$18),1,0.5)),
IF(AL2&lt;=($AL$18+$AM$18/2),0,IF(AL2&gt;($AL$18+$AM$18),1,0.5)))</f>
        <v>1.5</v>
      </c>
      <c r="E2">
        <v>-2.8192317887182301E-2</v>
      </c>
      <c r="F2">
        <v>0.18244911231161601</v>
      </c>
      <c r="G2" t="s">
        <v>24</v>
      </c>
      <c r="H2">
        <v>-0.67534272638558202</v>
      </c>
      <c r="I2">
        <v>0.30891729506298299</v>
      </c>
      <c r="J2" t="s">
        <v>25</v>
      </c>
      <c r="K2">
        <v>0</v>
      </c>
      <c r="L2">
        <v>0</v>
      </c>
      <c r="M2" t="s">
        <v>25</v>
      </c>
      <c r="N2">
        <v>0.15151515151515199</v>
      </c>
      <c r="O2">
        <v>0.35896891266591502</v>
      </c>
      <c r="P2" t="s">
        <v>24</v>
      </c>
      <c r="Q2">
        <v>3.7296037296037303E-2</v>
      </c>
      <c r="R2">
        <v>0.457040621221875</v>
      </c>
      <c r="S2" t="s">
        <v>24</v>
      </c>
      <c r="T2">
        <v>1.1655011655011699E-2</v>
      </c>
      <c r="U2">
        <v>0.10745271663593001</v>
      </c>
      <c r="V2" t="s">
        <v>24</v>
      </c>
      <c r="W2">
        <v>-0.29201540519786601</v>
      </c>
      <c r="X2">
        <v>0.84040045521773099</v>
      </c>
      <c r="Y2" t="s">
        <v>26</v>
      </c>
      <c r="Z2">
        <v>-0.237101163010392</v>
      </c>
      <c r="AA2">
        <v>0</v>
      </c>
      <c r="AB2" t="s">
        <v>25</v>
      </c>
      <c r="AC2">
        <v>-1.5906860968540399</v>
      </c>
      <c r="AD2">
        <v>0</v>
      </c>
      <c r="AE2" t="s">
        <v>26</v>
      </c>
      <c r="AF2">
        <v>2.0904347266301002</v>
      </c>
      <c r="AG2">
        <v>0</v>
      </c>
      <c r="AH2" t="s">
        <v>24</v>
      </c>
      <c r="AI2">
        <v>-1.2447936570865401</v>
      </c>
      <c r="AJ2">
        <v>0.53343020218276505</v>
      </c>
      <c r="AK2" t="s">
        <v>26</v>
      </c>
      <c r="AL2">
        <v>0</v>
      </c>
      <c r="AM2">
        <v>0</v>
      </c>
      <c r="AN2" t="s">
        <v>25</v>
      </c>
      <c r="AO2" t="s">
        <v>174</v>
      </c>
      <c r="AQ2" s="7"/>
    </row>
    <row r="3" spans="1:43" hidden="1" x14ac:dyDescent="0.35">
      <c r="A3">
        <v>2</v>
      </c>
      <c r="B3" t="str">
        <f t="shared" ref="B3:B16" si="0">_xlfn.TEXTJOIN(" ",TRUE,
    IF(E3&lt;=($E$18+$F$18/2), "", IF(E3&gt;($E$18+$F$18), $B$22, $A$22)),
    IF(H3&lt;=($H$18+$I$18/2), "", IF(H3&gt;($H$18+$I$18), $B$23, $A$23)),
    IF(K3&lt;=($K$18+$L$18/2), "", IF(K3&gt;($K$18+$L$18), $B$24, $A$24)),
    IF(N3&lt;=($N$18+$O$18/2), "", IF(N3&gt;($N$18+$O$18), $B$25, $A$25)),
    IF(Q3&lt;=($Q$18+$R$18/2), "", IF(Q3&gt;($Q$18+$R$18), $B$26, $A$26)),
    IF(T3&lt;=($T$18+$U$18/2), "", IF(T3&gt;($T$18+$U$18), $B$27, $A$27)),
    IF(W3&lt;=($W$18+$X$18/2), "", IF(W3&gt;($W$18+$X$18), $B$28, $A$28)),
    IF(Z3&lt;=($Z$18+$AA$18/2), "", IF(Z3&gt;($Z$18+$AA$18), $B$29, $A$29)),
    IF(AC3&lt;=($AC$18+$AD$18/2), "", IF(AC3&gt;($AC$18+$AD$18), $B$30, $A$30)),
    IF(AF3&lt;=($AF$18+$AG$18/2), "", IF(AF3&gt;($AF$18+$AG$18), $B$31, $A$31)),
    IF(AI3&lt;=($AI$18+$AJ$18/2), "", IF(AI3&gt;($AI$18+$AJ$18), $B$32, $A$32)),
    IF(AL3&lt;=($AL$18+$AM$18/2), "", IF(AL3&gt;($AL$18+$AM$18), $B$33, $A$33))
)</f>
        <v>GR PI TEC PETC</v>
      </c>
      <c r="C3" s="7">
        <f t="shared" ref="C3:C16" si="1">SUM(IF(E3&lt;=($E$18+$F$18/2),0,IF(E3&gt;($E$18+$F$18),1,0.5)),
IF(H3&lt;=($H$18+$I$18/2),0,IF(H3&gt;($H$18+$I$18),1,0.5)),
IF(K3&lt;=($K$18+$L$18/2),0,IF(K3&gt;($K$18+$L$18),1,0.5)),
IF(N3&lt;=($N$18+$O$18/2),0,IF(N3&gt;($N$18+$O$18),1,0.5)),
IF(Q3&lt;=($Q$18+$R$18/2),0,IF(Q3&gt;($Q$18+$R$18),1,0.5)),
IF(T3&lt;=($T$18+$U$18/2),0,IF(T3&gt;($T$18+$U$18),1,0.5)),
IF(W3&lt;=($W$18+$X$18/2),0,IF(W3&gt;($W$18+$X$18),1,0.5)),
IF(Z3&lt;=($Z$18+$AA$18/2),0,IF(Z3&gt;($Z$18+$AA$18),1,0.5)),
IF(AC3&lt;=($AC$18+$AD$18/2),0,IF(AC3&gt;($AC$18+$AD$18),1,0.5)),
IF(AF3&lt;=($AF$18+$AG$18/2),0,IF(AF3&gt;($AF$18+$AG$18),1,0.5)),
IF(AI3&lt;=($AI$18+$AJ$18/2),0,IF(AI3&gt;($AI$18+$AJ$18),1,0.5)),
IF(AL3&lt;=($AL$18+$AM$18/2),0,IF(AL3&gt;($AL$18+$AM$18),1,0.5)))</f>
        <v>4</v>
      </c>
      <c r="E3">
        <v>-2.4088936343585401E-2</v>
      </c>
      <c r="F3">
        <v>0.382599499483048</v>
      </c>
      <c r="G3" t="s">
        <v>24</v>
      </c>
      <c r="H3">
        <v>-0.54325047167867901</v>
      </c>
      <c r="I3">
        <v>0.61799316775955604</v>
      </c>
      <c r="J3" t="s">
        <v>25</v>
      </c>
      <c r="K3">
        <v>0</v>
      </c>
      <c r="L3">
        <v>0</v>
      </c>
      <c r="M3" t="s">
        <v>25</v>
      </c>
      <c r="N3">
        <v>0.51822323462414599</v>
      </c>
      <c r="O3">
        <v>0.499952595524781</v>
      </c>
      <c r="P3" t="s">
        <v>24</v>
      </c>
      <c r="Q3">
        <v>-6.8337129840546698E-3</v>
      </c>
      <c r="R3">
        <v>0.58091952992927098</v>
      </c>
      <c r="S3" t="s">
        <v>26</v>
      </c>
      <c r="T3">
        <v>3.4168564920273301E-3</v>
      </c>
      <c r="U3">
        <v>5.8387193329986001E-2</v>
      </c>
      <c r="V3" t="s">
        <v>24</v>
      </c>
      <c r="W3">
        <v>2.3649553556177798</v>
      </c>
      <c r="X3">
        <v>0.88222946638136401</v>
      </c>
      <c r="Y3" t="s">
        <v>24</v>
      </c>
      <c r="Z3">
        <v>0.53041767020298802</v>
      </c>
      <c r="AA3">
        <v>0.46723774837258703</v>
      </c>
      <c r="AB3" t="s">
        <v>24</v>
      </c>
      <c r="AC3">
        <v>0.80136304416759396</v>
      </c>
      <c r="AD3">
        <v>0.318097878178555</v>
      </c>
      <c r="AE3" t="s">
        <v>24</v>
      </c>
      <c r="AF3">
        <v>-0.77505423892959302</v>
      </c>
      <c r="AG3">
        <v>0.47135693154477598</v>
      </c>
      <c r="AH3" t="s">
        <v>26</v>
      </c>
      <c r="AI3">
        <v>-0.20375684300201199</v>
      </c>
      <c r="AJ3">
        <v>0.74185386215530502</v>
      </c>
      <c r="AK3" t="s">
        <v>26</v>
      </c>
      <c r="AL3">
        <v>0</v>
      </c>
      <c r="AM3">
        <v>0</v>
      </c>
      <c r="AN3" t="s">
        <v>25</v>
      </c>
      <c r="AO3" t="s">
        <v>174</v>
      </c>
    </row>
    <row r="4" spans="1:43" hidden="1" x14ac:dyDescent="0.35">
      <c r="A4">
        <v>3</v>
      </c>
      <c r="B4" t="str">
        <f t="shared" si="0"/>
        <v>TC PI TEC PETC</v>
      </c>
      <c r="C4" s="7">
        <f t="shared" si="1"/>
        <v>4</v>
      </c>
      <c r="E4">
        <v>-2.5321416411370399E-2</v>
      </c>
      <c r="F4">
        <v>0.31317958324798001</v>
      </c>
      <c r="G4" t="s">
        <v>24</v>
      </c>
      <c r="H4">
        <v>0.15827933904548599</v>
      </c>
      <c r="I4">
        <v>0.93284668440474305</v>
      </c>
      <c r="J4" t="s">
        <v>25</v>
      </c>
      <c r="K4">
        <v>0</v>
      </c>
      <c r="L4">
        <v>0</v>
      </c>
      <c r="M4" t="s">
        <v>25</v>
      </c>
      <c r="N4">
        <v>0.21835883171070899</v>
      </c>
      <c r="O4">
        <v>0.41341984201050702</v>
      </c>
      <c r="P4" t="s">
        <v>24</v>
      </c>
      <c r="Q4">
        <v>-9.7357440890125199E-2</v>
      </c>
      <c r="R4">
        <v>0.44343709947923399</v>
      </c>
      <c r="S4" t="s">
        <v>26</v>
      </c>
      <c r="T4">
        <v>1.8080667593880401E-2</v>
      </c>
      <c r="U4">
        <v>0.13333598064428301</v>
      </c>
      <c r="V4" t="s">
        <v>24</v>
      </c>
      <c r="W4">
        <v>0.81831061085857504</v>
      </c>
      <c r="X4">
        <v>0.66029522037224497</v>
      </c>
      <c r="Y4" t="s">
        <v>24</v>
      </c>
      <c r="Z4">
        <v>1.2038294829520501E-2</v>
      </c>
      <c r="AA4">
        <v>0.48772688656360402</v>
      </c>
      <c r="AB4" t="s">
        <v>25</v>
      </c>
      <c r="AC4">
        <v>0.74103908841480304</v>
      </c>
      <c r="AD4">
        <v>0.35293002096701698</v>
      </c>
      <c r="AE4" t="s">
        <v>24</v>
      </c>
      <c r="AF4">
        <v>-1.0865624301402901</v>
      </c>
      <c r="AG4">
        <v>0.32081327953036398</v>
      </c>
      <c r="AH4" t="s">
        <v>26</v>
      </c>
      <c r="AI4">
        <v>-1.78517078836904</v>
      </c>
      <c r="AJ4">
        <v>0.50065647769182797</v>
      </c>
      <c r="AK4" t="s">
        <v>26</v>
      </c>
      <c r="AL4">
        <v>2.7816411682892901E-3</v>
      </c>
      <c r="AM4">
        <v>3.7215713832696902E-2</v>
      </c>
      <c r="AN4" t="s">
        <v>24</v>
      </c>
      <c r="AO4" t="s">
        <v>174</v>
      </c>
    </row>
    <row r="5" spans="1:43" x14ac:dyDescent="0.35">
      <c r="A5">
        <v>6</v>
      </c>
      <c r="B5" t="str">
        <f t="shared" si="0"/>
        <v>GR GRC PI TEC PETC SP</v>
      </c>
      <c r="C5" s="7">
        <f>SUM(IF(E5&lt;=($E$18+$F$18/2),0,IF(E5&gt;($E$18+$F$18),1,0.5)),
IF(H5&lt;=($H$18+$I$18/2),0,IF(H5&gt;($H$18+$I$18),1,0.5)),
IF(K5&lt;=($K$18+$L$18/2),0,IF(K5&gt;($K$18+$L$18),1,0.5)),
IF(N5&lt;=($N$18+$O$18/2),0,IF(N5&gt;($N$18+$O$18),1,0.5)),
IF(Q5&lt;=($Q$18+$R$18/2),0,IF(Q5&gt;($Q$18+$R$18),1,0.5)),
IF(T5&lt;=($T$18+$U$18/2),0,IF(T5&gt;($T$18+$U$18),1,0.5)),
IF(W5&lt;=($W$18+$X$18/2),0,IF(W5&gt;($W$18+$X$18),1,0.5)),
IF(Z5&lt;=($Z$18+$AA$18/2),0,IF(Z5&gt;($Z$18+$AA$18),1,0.5)),
IF(AC5&lt;=($AC$18+$AD$18/2),0,IF(AC5&gt;($AC$18+$AD$18),1,0.5)),
IF(AF5&lt;=($AF$18+$AG$18/2),0,IF(AF5&gt;($AF$18+$AG$18),1,0.5)),
IF(AI5&lt;=($AI$18+$AJ$18/2),0,IF(AI5&gt;($AI$18+$AJ$18),1,0.5)),
IF(AL5&lt;=($AL$18+$AM$18/2),0,IF(AL5&gt;($AL$18+$AM$18),1,0.5)))</f>
        <v>6</v>
      </c>
      <c r="D5" t="s">
        <v>53</v>
      </c>
      <c r="E5">
        <v>-3.4892140907214202E-2</v>
      </c>
      <c r="F5">
        <v>9.4100571561714197E-2</v>
      </c>
      <c r="G5" t="s">
        <v>24</v>
      </c>
      <c r="H5">
        <v>-0.74093348426746397</v>
      </c>
      <c r="I5">
        <v>7.9092127166762199E-2</v>
      </c>
      <c r="J5" t="s">
        <v>25</v>
      </c>
      <c r="K5">
        <v>0</v>
      </c>
      <c r="L5">
        <v>0</v>
      </c>
      <c r="M5" t="s">
        <v>25</v>
      </c>
      <c r="N5">
        <v>0.41788046207935697</v>
      </c>
      <c r="O5">
        <v>0.49333418782746502</v>
      </c>
      <c r="P5" t="s">
        <v>24</v>
      </c>
      <c r="Q5">
        <v>9.9949773982923207E-2</v>
      </c>
      <c r="R5">
        <v>0.458920513462936</v>
      </c>
      <c r="S5" t="s">
        <v>24</v>
      </c>
      <c r="T5">
        <v>1.6072325464590701E-2</v>
      </c>
      <c r="U5">
        <v>0.12578534316582099</v>
      </c>
      <c r="V5" t="s">
        <v>24</v>
      </c>
      <c r="W5">
        <v>0.65378169235518402</v>
      </c>
      <c r="X5">
        <v>0.43202286997404199</v>
      </c>
      <c r="Y5" t="s">
        <v>24</v>
      </c>
      <c r="Z5">
        <v>0.83031621473697903</v>
      </c>
      <c r="AA5">
        <v>0.203623322522934</v>
      </c>
      <c r="AB5" t="s">
        <v>24</v>
      </c>
      <c r="AC5">
        <v>0.63935730701748195</v>
      </c>
      <c r="AD5">
        <v>0.116375126550795</v>
      </c>
      <c r="AE5" t="s">
        <v>25</v>
      </c>
      <c r="AF5">
        <v>-0.39180674773007201</v>
      </c>
      <c r="AG5">
        <v>0.27915694299670202</v>
      </c>
      <c r="AH5" t="s">
        <v>26</v>
      </c>
      <c r="AI5">
        <v>0.47862963767229999</v>
      </c>
      <c r="AJ5">
        <v>0.56763603142796504</v>
      </c>
      <c r="AK5" t="s">
        <v>25</v>
      </c>
      <c r="AL5">
        <v>1.0045203415369199E-3</v>
      </c>
      <c r="AM5">
        <v>3.1686204528874898E-2</v>
      </c>
      <c r="AN5" t="s">
        <v>24</v>
      </c>
      <c r="AO5" t="s">
        <v>174</v>
      </c>
    </row>
    <row r="6" spans="1:43" hidden="1" x14ac:dyDescent="0.35">
      <c r="A6">
        <v>7</v>
      </c>
      <c r="B6" t="str">
        <f t="shared" si="0"/>
        <v>lu PETC SP</v>
      </c>
      <c r="C6" s="7">
        <f t="shared" si="1"/>
        <v>2.5</v>
      </c>
      <c r="E6">
        <v>-2.54014423063436E-2</v>
      </c>
      <c r="F6">
        <v>0.354559304475904</v>
      </c>
      <c r="G6" t="s">
        <v>24</v>
      </c>
      <c r="H6">
        <v>-0.70457104175499496</v>
      </c>
      <c r="I6">
        <v>0.22443932710176101</v>
      </c>
      <c r="J6" t="s">
        <v>25</v>
      </c>
      <c r="K6">
        <v>6.8380743982494503E-3</v>
      </c>
      <c r="L6">
        <v>8.2420708718926705E-2</v>
      </c>
      <c r="M6" t="s">
        <v>24</v>
      </c>
      <c r="N6">
        <v>2.8172866520787699E-2</v>
      </c>
      <c r="O6">
        <v>0.165489114415345</v>
      </c>
      <c r="P6" t="s">
        <v>24</v>
      </c>
      <c r="Q6">
        <v>-2.8993435448577701E-2</v>
      </c>
      <c r="R6">
        <v>0.207207143950421</v>
      </c>
      <c r="S6" t="s">
        <v>26</v>
      </c>
      <c r="T6">
        <v>4.7866520787746197E-2</v>
      </c>
      <c r="U6">
        <v>0.21351296513887</v>
      </c>
      <c r="V6" t="s">
        <v>24</v>
      </c>
      <c r="W6">
        <v>-1.1352224240717701</v>
      </c>
      <c r="X6">
        <v>0.33049370308614601</v>
      </c>
      <c r="Y6" t="s">
        <v>26</v>
      </c>
      <c r="Z6">
        <v>-0.21123661560446699</v>
      </c>
      <c r="AA6">
        <v>0.22452269285123599</v>
      </c>
      <c r="AB6" t="s">
        <v>25</v>
      </c>
      <c r="AC6">
        <v>0.65835429181364402</v>
      </c>
      <c r="AD6">
        <v>0.29139292921246002</v>
      </c>
      <c r="AE6" t="s">
        <v>25</v>
      </c>
      <c r="AF6">
        <v>-1.1674277289661501</v>
      </c>
      <c r="AG6">
        <v>0.13171883004646001</v>
      </c>
      <c r="AH6" t="s">
        <v>26</v>
      </c>
      <c r="AI6">
        <v>6.09934972776029E-2</v>
      </c>
      <c r="AJ6">
        <v>0.35655756834816899</v>
      </c>
      <c r="AK6" t="s">
        <v>26</v>
      </c>
      <c r="AL6">
        <v>1.09409190371991E-3</v>
      </c>
      <c r="AM6">
        <v>3.30634825792675E-2</v>
      </c>
      <c r="AN6" t="s">
        <v>24</v>
      </c>
      <c r="AO6" t="s">
        <v>174</v>
      </c>
    </row>
    <row r="7" spans="1:43" hidden="1" x14ac:dyDescent="0.35">
      <c r="A7">
        <v>8</v>
      </c>
      <c r="B7" t="str">
        <f t="shared" si="0"/>
        <v>GRC lu TEC PETC luc</v>
      </c>
      <c r="C7" s="7">
        <f t="shared" si="1"/>
        <v>4</v>
      </c>
      <c r="E7">
        <v>-3.7001044037006298E-2</v>
      </c>
      <c r="F7">
        <v>0</v>
      </c>
      <c r="G7" t="s">
        <v>25</v>
      </c>
      <c r="H7">
        <v>-0.736445988879324</v>
      </c>
      <c r="I7">
        <v>0.114909318752643</v>
      </c>
      <c r="J7" t="s">
        <v>25</v>
      </c>
      <c r="K7">
        <v>0</v>
      </c>
      <c r="L7">
        <v>0</v>
      </c>
      <c r="M7" t="s">
        <v>25</v>
      </c>
      <c r="N7">
        <v>0.16923076923076899</v>
      </c>
      <c r="O7">
        <v>0.375038053681157</v>
      </c>
      <c r="P7" t="s">
        <v>24</v>
      </c>
      <c r="Q7">
        <v>0.149450549450549</v>
      </c>
      <c r="R7">
        <v>0.43342473150869398</v>
      </c>
      <c r="S7" t="s">
        <v>24</v>
      </c>
      <c r="T7">
        <v>4.7032967032966999E-2</v>
      </c>
      <c r="U7">
        <v>0.211755937788913</v>
      </c>
      <c r="V7" t="s">
        <v>24</v>
      </c>
      <c r="W7">
        <v>-0.57426616728158997</v>
      </c>
      <c r="X7">
        <v>0.51724729078467901</v>
      </c>
      <c r="Y7" t="s">
        <v>26</v>
      </c>
      <c r="Z7">
        <v>0.83158278886964898</v>
      </c>
      <c r="AA7">
        <v>0.17113773325739301</v>
      </c>
      <c r="AB7" t="s">
        <v>24</v>
      </c>
      <c r="AC7">
        <v>0.65167074857595497</v>
      </c>
      <c r="AD7">
        <v>0.12615158586720801</v>
      </c>
      <c r="AE7" t="s">
        <v>25</v>
      </c>
      <c r="AF7">
        <v>-0.40552623185831199</v>
      </c>
      <c r="AG7">
        <v>0.248152695141587</v>
      </c>
      <c r="AH7" t="s">
        <v>26</v>
      </c>
      <c r="AI7">
        <v>-0.165924750861805</v>
      </c>
      <c r="AJ7">
        <v>0.37740308396160299</v>
      </c>
      <c r="AK7" t="s">
        <v>26</v>
      </c>
      <c r="AL7">
        <v>7.4725274725274699E-3</v>
      </c>
      <c r="AM7">
        <v>8.6139133512736193E-2</v>
      </c>
      <c r="AN7" t="s">
        <v>24</v>
      </c>
      <c r="AO7" t="s">
        <v>174</v>
      </c>
    </row>
    <row r="8" spans="1:43" hidden="1" x14ac:dyDescent="0.35">
      <c r="A8">
        <v>9</v>
      </c>
      <c r="B8" t="str">
        <f t="shared" si="0"/>
        <v>grc TEC PETC SP</v>
      </c>
      <c r="C8" s="7">
        <f t="shared" si="1"/>
        <v>3.5</v>
      </c>
      <c r="E8">
        <v>-3.11069699220505E-2</v>
      </c>
      <c r="F8">
        <v>0.24027138210411</v>
      </c>
      <c r="G8" t="s">
        <v>24</v>
      </c>
      <c r="H8">
        <v>-0.73632632431154099</v>
      </c>
      <c r="I8">
        <v>0.11886639265165801</v>
      </c>
      <c r="J8" t="s">
        <v>25</v>
      </c>
      <c r="K8">
        <v>0</v>
      </c>
      <c r="L8">
        <v>0</v>
      </c>
      <c r="M8" t="s">
        <v>25</v>
      </c>
      <c r="N8">
        <v>9.1243315508021394E-2</v>
      </c>
      <c r="O8">
        <v>0.288002943344152</v>
      </c>
      <c r="P8" t="s">
        <v>24</v>
      </c>
      <c r="Q8">
        <v>5.7820855614973299E-2</v>
      </c>
      <c r="R8">
        <v>0.32657661814971201</v>
      </c>
      <c r="S8" t="s">
        <v>24</v>
      </c>
      <c r="T8">
        <v>2.1390374331550801E-2</v>
      </c>
      <c r="U8">
        <v>0.144705994423382</v>
      </c>
      <c r="V8" t="s">
        <v>24</v>
      </c>
      <c r="W8">
        <v>-0.74787270614798895</v>
      </c>
      <c r="X8">
        <v>0.43095936240362998</v>
      </c>
      <c r="Y8" t="s">
        <v>26</v>
      </c>
      <c r="Z8">
        <v>0.790272144837876</v>
      </c>
      <c r="AA8">
        <v>0.108850236952128</v>
      </c>
      <c r="AB8" t="s">
        <v>24</v>
      </c>
      <c r="AC8">
        <v>0.66253655381321996</v>
      </c>
      <c r="AD8">
        <v>5.6295256154186901E-2</v>
      </c>
      <c r="AE8" t="s">
        <v>25</v>
      </c>
      <c r="AF8">
        <v>-0.454045886653141</v>
      </c>
      <c r="AG8">
        <v>0.14938938536508201</v>
      </c>
      <c r="AH8" t="s">
        <v>26</v>
      </c>
      <c r="AI8">
        <v>1.0737823332288501</v>
      </c>
      <c r="AJ8">
        <v>0.32422915173405498</v>
      </c>
      <c r="AK8" t="s">
        <v>24</v>
      </c>
      <c r="AL8">
        <v>6.6844919786096296E-4</v>
      </c>
      <c r="AM8">
        <v>2.5850062108263801E-2</v>
      </c>
      <c r="AN8" t="s">
        <v>24</v>
      </c>
      <c r="AO8" t="s">
        <v>174</v>
      </c>
    </row>
    <row r="9" spans="1:43" hidden="1" x14ac:dyDescent="0.35">
      <c r="A9">
        <v>11</v>
      </c>
      <c r="B9" t="str">
        <f t="shared" si="0"/>
        <v>PETC</v>
      </c>
      <c r="C9" s="7">
        <f t="shared" si="1"/>
        <v>1</v>
      </c>
      <c r="E9">
        <v>-9.4040855296462396E-3</v>
      </c>
      <c r="F9">
        <v>0.485616831781986</v>
      </c>
      <c r="G9" t="s">
        <v>24</v>
      </c>
      <c r="H9">
        <v>-0.72570200961925602</v>
      </c>
      <c r="I9">
        <v>0.14170477497956499</v>
      </c>
      <c r="J9" t="s">
        <v>25</v>
      </c>
      <c r="K9">
        <v>1.46056475170399E-3</v>
      </c>
      <c r="L9">
        <v>3.8198715851655102E-2</v>
      </c>
      <c r="M9" t="s">
        <v>24</v>
      </c>
      <c r="N9">
        <v>5.0146056475170397E-2</v>
      </c>
      <c r="O9">
        <v>0.218299405373198</v>
      </c>
      <c r="P9" t="s">
        <v>24</v>
      </c>
      <c r="Q9">
        <v>1.80136319376826E-2</v>
      </c>
      <c r="R9">
        <v>0.30287910199111601</v>
      </c>
      <c r="S9" t="s">
        <v>24</v>
      </c>
      <c r="T9">
        <v>2.0447906523855901E-2</v>
      </c>
      <c r="U9">
        <v>0.141561103394096</v>
      </c>
      <c r="V9" t="s">
        <v>24</v>
      </c>
      <c r="W9">
        <v>8.0639178064752307E-2</v>
      </c>
      <c r="X9">
        <v>0.46318925588181897</v>
      </c>
      <c r="Y9" t="s">
        <v>25</v>
      </c>
      <c r="Z9">
        <v>-0.102463641210313</v>
      </c>
      <c r="AA9">
        <v>0.28467707987121099</v>
      </c>
      <c r="AB9" t="s">
        <v>25</v>
      </c>
      <c r="AC9">
        <v>0.79952343269194204</v>
      </c>
      <c r="AD9">
        <v>0.369463269524761</v>
      </c>
      <c r="AE9" t="s">
        <v>24</v>
      </c>
      <c r="AF9">
        <v>-1.2312406501829201</v>
      </c>
      <c r="AG9">
        <v>0.16700909571988601</v>
      </c>
      <c r="AH9" t="s">
        <v>26</v>
      </c>
      <c r="AI9">
        <v>-6.0991044214185497E-2</v>
      </c>
      <c r="AJ9">
        <v>0.44392873819551498</v>
      </c>
      <c r="AK9" t="s">
        <v>26</v>
      </c>
      <c r="AL9">
        <v>0</v>
      </c>
      <c r="AM9">
        <v>0</v>
      </c>
      <c r="AN9" t="s">
        <v>25</v>
      </c>
      <c r="AO9" t="s">
        <v>174</v>
      </c>
    </row>
    <row r="10" spans="1:43" hidden="1" x14ac:dyDescent="0.35">
      <c r="A10">
        <v>13</v>
      </c>
      <c r="B10" t="str">
        <f t="shared" si="0"/>
        <v>gr TEC PETC</v>
      </c>
      <c r="C10" s="7">
        <f t="shared" si="1"/>
        <v>2.5</v>
      </c>
      <c r="E10">
        <v>-2.6511925010758601E-2</v>
      </c>
      <c r="F10">
        <v>0.31100178174342602</v>
      </c>
      <c r="G10" t="s">
        <v>24</v>
      </c>
      <c r="H10">
        <v>-0.68365213968431704</v>
      </c>
      <c r="I10">
        <v>0.286131289443598</v>
      </c>
      <c r="J10" t="s">
        <v>25</v>
      </c>
      <c r="K10">
        <v>0</v>
      </c>
      <c r="L10">
        <v>0</v>
      </c>
      <c r="M10" t="s">
        <v>25</v>
      </c>
      <c r="N10">
        <v>0.28766086298258903</v>
      </c>
      <c r="O10">
        <v>0.45284360139367602</v>
      </c>
      <c r="P10" t="s">
        <v>24</v>
      </c>
      <c r="Q10">
        <v>-6.8887206661620001E-2</v>
      </c>
      <c r="R10">
        <v>0.444436367768545</v>
      </c>
      <c r="S10" t="s">
        <v>26</v>
      </c>
      <c r="T10">
        <v>3.5579106737320197E-2</v>
      </c>
      <c r="U10">
        <v>0.185308469248607</v>
      </c>
      <c r="V10" t="s">
        <v>24</v>
      </c>
      <c r="W10">
        <v>-0.35180583535633098</v>
      </c>
      <c r="X10">
        <v>0.73835107285427903</v>
      </c>
      <c r="Y10" t="s">
        <v>26</v>
      </c>
      <c r="Z10">
        <v>1.2401488185023899</v>
      </c>
      <c r="AA10">
        <v>0.30769223118627498</v>
      </c>
      <c r="AB10" t="s">
        <v>24</v>
      </c>
      <c r="AC10">
        <v>1.0186357519123199</v>
      </c>
      <c r="AD10">
        <v>0.51013871641434905</v>
      </c>
      <c r="AE10" t="s">
        <v>24</v>
      </c>
      <c r="AF10">
        <v>-0.43584020587236499</v>
      </c>
      <c r="AG10">
        <v>0.45839130474065898</v>
      </c>
      <c r="AH10" t="s">
        <v>26</v>
      </c>
      <c r="AI10">
        <v>-1.89026607995711</v>
      </c>
      <c r="AJ10">
        <v>0.49099138404651099</v>
      </c>
      <c r="AK10" t="s">
        <v>26</v>
      </c>
      <c r="AL10">
        <v>2.2710068130204399E-3</v>
      </c>
      <c r="AM10">
        <v>3.8858591534318601E-2</v>
      </c>
      <c r="AN10" t="s">
        <v>24</v>
      </c>
      <c r="AO10" t="s">
        <v>174</v>
      </c>
    </row>
    <row r="11" spans="1:43" hidden="1" x14ac:dyDescent="0.35">
      <c r="A11">
        <v>14</v>
      </c>
      <c r="B11" t="str">
        <f t="shared" si="0"/>
        <v>TC PRC</v>
      </c>
      <c r="C11" s="7">
        <f t="shared" si="1"/>
        <v>2</v>
      </c>
      <c r="E11">
        <v>-3.7001044037006298E-2</v>
      </c>
      <c r="F11">
        <v>0</v>
      </c>
      <c r="G11" t="s">
        <v>25</v>
      </c>
      <c r="H11">
        <v>1.3196607378031699</v>
      </c>
      <c r="I11">
        <v>0.31773229325848801</v>
      </c>
      <c r="J11" t="s">
        <v>24</v>
      </c>
      <c r="K11">
        <v>1.7615325333039699E-3</v>
      </c>
      <c r="L11">
        <v>4.1935941070062398E-2</v>
      </c>
      <c r="M11" t="s">
        <v>24</v>
      </c>
      <c r="N11">
        <v>3.9634481999339397E-3</v>
      </c>
      <c r="O11">
        <v>6.2834496541348595E-2</v>
      </c>
      <c r="P11" t="s">
        <v>24</v>
      </c>
      <c r="Q11">
        <v>1.10095783331498E-2</v>
      </c>
      <c r="R11">
        <v>0.14035027208107301</v>
      </c>
      <c r="S11" t="s">
        <v>24</v>
      </c>
      <c r="T11">
        <v>1.9817240999669698E-3</v>
      </c>
      <c r="U11">
        <v>4.4474876510563602E-2</v>
      </c>
      <c r="V11" t="s">
        <v>24</v>
      </c>
      <c r="W11">
        <v>-3.8249412895483302E-4</v>
      </c>
      <c r="X11">
        <v>0.59584282310534098</v>
      </c>
      <c r="Y11" t="s">
        <v>25</v>
      </c>
      <c r="Z11">
        <v>-1.39125003838381</v>
      </c>
      <c r="AA11">
        <v>0.53218758254236098</v>
      </c>
      <c r="AB11" t="s">
        <v>26</v>
      </c>
      <c r="AC11">
        <v>-1.0215798091065</v>
      </c>
      <c r="AD11">
        <v>0.100031155725522</v>
      </c>
      <c r="AE11" t="s">
        <v>26</v>
      </c>
      <c r="AF11">
        <v>0.56577153165796801</v>
      </c>
      <c r="AG11">
        <v>0.19638867792225301</v>
      </c>
      <c r="AH11" t="s">
        <v>25</v>
      </c>
      <c r="AI11">
        <v>-0.40900734055557803</v>
      </c>
      <c r="AJ11">
        <v>0.68687718388809005</v>
      </c>
      <c r="AK11" t="s">
        <v>26</v>
      </c>
      <c r="AL11">
        <v>0</v>
      </c>
      <c r="AM11">
        <v>0</v>
      </c>
      <c r="AN11" t="s">
        <v>25</v>
      </c>
      <c r="AO11" t="s">
        <v>174</v>
      </c>
    </row>
    <row r="12" spans="1:43" x14ac:dyDescent="0.35">
      <c r="A12">
        <v>15</v>
      </c>
      <c r="B12" t="str">
        <f t="shared" si="0"/>
        <v>tcc GR PRC SP</v>
      </c>
      <c r="C12" s="7">
        <f t="shared" si="1"/>
        <v>3.5</v>
      </c>
      <c r="D12" t="s">
        <v>50</v>
      </c>
      <c r="E12">
        <v>-2.67050719139936E-2</v>
      </c>
      <c r="F12">
        <v>0.27545702760576102</v>
      </c>
      <c r="G12" t="s">
        <v>24</v>
      </c>
      <c r="H12">
        <v>-0.49407259213266103</v>
      </c>
      <c r="I12">
        <v>0.52505274496757903</v>
      </c>
      <c r="J12" t="s">
        <v>25</v>
      </c>
      <c r="K12">
        <v>1.37931034482759E-2</v>
      </c>
      <c r="L12">
        <v>0.116675984597727</v>
      </c>
      <c r="M12" t="s">
        <v>24</v>
      </c>
      <c r="N12">
        <v>0.90191570881226102</v>
      </c>
      <c r="O12">
        <v>0.29754260756905898</v>
      </c>
      <c r="P12" t="s">
        <v>24</v>
      </c>
      <c r="Q12">
        <v>-0.64827586206896504</v>
      </c>
      <c r="R12">
        <v>0.47769145512113598</v>
      </c>
      <c r="S12" t="s">
        <v>26</v>
      </c>
      <c r="T12">
        <v>1.6858237547892702E-2</v>
      </c>
      <c r="U12">
        <v>0.12878954742537299</v>
      </c>
      <c r="V12" t="s">
        <v>24</v>
      </c>
      <c r="W12">
        <v>-1.24200217344576E-2</v>
      </c>
      <c r="X12">
        <v>0.57057576032610302</v>
      </c>
      <c r="Y12" t="s">
        <v>25</v>
      </c>
      <c r="Z12">
        <v>-1.18048900976416</v>
      </c>
      <c r="AA12">
        <v>0.38148741824390697</v>
      </c>
      <c r="AB12" t="s">
        <v>26</v>
      </c>
      <c r="AC12">
        <v>-1.15047643216092</v>
      </c>
      <c r="AD12">
        <v>0.32708764173128402</v>
      </c>
      <c r="AE12" t="s">
        <v>26</v>
      </c>
      <c r="AF12">
        <v>0.75138296902419999</v>
      </c>
      <c r="AG12">
        <v>0.21304535027458599</v>
      </c>
      <c r="AH12" t="s">
        <v>24</v>
      </c>
      <c r="AI12">
        <v>0.66813899736196203</v>
      </c>
      <c r="AJ12">
        <v>0.35979438146222398</v>
      </c>
      <c r="AK12" t="s">
        <v>24</v>
      </c>
      <c r="AL12">
        <v>3.8314176245210702E-4</v>
      </c>
      <c r="AM12">
        <v>1.38409133089567E-2</v>
      </c>
      <c r="AN12" t="s">
        <v>24</v>
      </c>
      <c r="AO12" t="s">
        <v>174</v>
      </c>
    </row>
    <row r="13" spans="1:43" hidden="1" x14ac:dyDescent="0.35">
      <c r="A13">
        <v>16</v>
      </c>
      <c r="B13" t="str">
        <f t="shared" si="0"/>
        <v>PI PRC SP</v>
      </c>
      <c r="C13" s="7">
        <f t="shared" si="1"/>
        <v>3</v>
      </c>
      <c r="E13">
        <v>-3.7001044037006298E-2</v>
      </c>
      <c r="F13">
        <v>0</v>
      </c>
      <c r="G13" t="s">
        <v>25</v>
      </c>
      <c r="H13">
        <v>-0.47480270633142402</v>
      </c>
      <c r="I13">
        <v>0.67994467247299195</v>
      </c>
      <c r="J13" t="s">
        <v>25</v>
      </c>
      <c r="K13">
        <v>0</v>
      </c>
      <c r="L13">
        <v>0</v>
      </c>
      <c r="M13" t="s">
        <v>25</v>
      </c>
      <c r="N13">
        <v>0.22062350119904101</v>
      </c>
      <c r="O13">
        <v>0.41483289519425998</v>
      </c>
      <c r="P13" t="s">
        <v>24</v>
      </c>
      <c r="Q13">
        <v>-9.5923261390887301E-3</v>
      </c>
      <c r="R13">
        <v>0.430706296296055</v>
      </c>
      <c r="S13" t="s">
        <v>26</v>
      </c>
      <c r="T13">
        <v>7.9936051159072697E-4</v>
      </c>
      <c r="U13">
        <v>2.8272964322665701E-2</v>
      </c>
      <c r="V13" t="s">
        <v>24</v>
      </c>
      <c r="W13">
        <v>2.2274468182586</v>
      </c>
      <c r="X13">
        <v>0.79327849598380595</v>
      </c>
      <c r="Y13" t="s">
        <v>24</v>
      </c>
      <c r="Z13">
        <v>-0.62931880800057105</v>
      </c>
      <c r="AA13">
        <v>0.39075645786242302</v>
      </c>
      <c r="AB13" t="s">
        <v>26</v>
      </c>
      <c r="AC13">
        <v>-1.27993595827424</v>
      </c>
      <c r="AD13">
        <v>0.31070076619673198</v>
      </c>
      <c r="AE13" t="s">
        <v>26</v>
      </c>
      <c r="AF13">
        <v>1.35874916558246</v>
      </c>
      <c r="AG13">
        <v>0.69320418945798701</v>
      </c>
      <c r="AH13" t="s">
        <v>24</v>
      </c>
      <c r="AI13">
        <v>0.49024698748511403</v>
      </c>
      <c r="AJ13">
        <v>0.46548281495983701</v>
      </c>
      <c r="AK13" t="s">
        <v>25</v>
      </c>
      <c r="AL13">
        <v>3.9968025579536402E-4</v>
      </c>
      <c r="AM13">
        <v>1.41364821613328E-2</v>
      </c>
      <c r="AN13" t="s">
        <v>24</v>
      </c>
      <c r="AO13" t="s">
        <v>174</v>
      </c>
    </row>
    <row r="14" spans="1:43" x14ac:dyDescent="0.35">
      <c r="A14">
        <v>18</v>
      </c>
      <c r="B14" t="str">
        <f t="shared" si="0"/>
        <v>TC PI PETC SP</v>
      </c>
      <c r="C14" s="7">
        <f t="shared" si="1"/>
        <v>4</v>
      </c>
      <c r="D14" t="s">
        <v>53</v>
      </c>
      <c r="E14">
        <v>-3.7001044037006298E-2</v>
      </c>
      <c r="F14">
        <v>0</v>
      </c>
      <c r="G14" t="s">
        <v>25</v>
      </c>
      <c r="H14">
        <v>1.32915910402767</v>
      </c>
      <c r="I14">
        <v>0.32484547732629698</v>
      </c>
      <c r="J14" t="s">
        <v>24</v>
      </c>
      <c r="K14">
        <v>1.7882689556509299E-3</v>
      </c>
      <c r="L14">
        <v>4.2257658662576698E-2</v>
      </c>
      <c r="M14" t="s">
        <v>24</v>
      </c>
      <c r="N14">
        <v>1.35908440629471E-2</v>
      </c>
      <c r="O14">
        <v>0.115805567613904</v>
      </c>
      <c r="P14" t="s">
        <v>24</v>
      </c>
      <c r="Q14">
        <v>1.3233190271816899E-2</v>
      </c>
      <c r="R14">
        <v>0.23814306365966301</v>
      </c>
      <c r="S14" t="s">
        <v>24</v>
      </c>
      <c r="T14">
        <v>7.8683834048640898E-3</v>
      </c>
      <c r="U14">
        <v>8.8370045607531894E-2</v>
      </c>
      <c r="V14" t="s">
        <v>24</v>
      </c>
      <c r="W14">
        <v>0.42424242782319499</v>
      </c>
      <c r="X14">
        <v>0.72051698732460301</v>
      </c>
      <c r="Y14" t="s">
        <v>24</v>
      </c>
      <c r="Z14">
        <v>-0.13199626667871101</v>
      </c>
      <c r="AA14">
        <v>0.37628815695711498</v>
      </c>
      <c r="AB14" t="s">
        <v>25</v>
      </c>
      <c r="AC14">
        <v>0.60702990271036505</v>
      </c>
      <c r="AD14">
        <v>0.212988394118546</v>
      </c>
      <c r="AE14" t="s">
        <v>25</v>
      </c>
      <c r="AF14">
        <v>-1.05950131204041</v>
      </c>
      <c r="AG14">
        <v>0.23757594086393699</v>
      </c>
      <c r="AH14" t="s">
        <v>26</v>
      </c>
      <c r="AI14">
        <v>0.31949740038311403</v>
      </c>
      <c r="AJ14">
        <v>0.54151633513494701</v>
      </c>
      <c r="AK14" t="s">
        <v>25</v>
      </c>
      <c r="AL14">
        <v>0</v>
      </c>
      <c r="AM14">
        <v>0</v>
      </c>
      <c r="AN14" t="s">
        <v>25</v>
      </c>
      <c r="AO14" t="s">
        <v>174</v>
      </c>
    </row>
    <row r="15" spans="1:43" x14ac:dyDescent="0.35">
      <c r="A15">
        <v>19</v>
      </c>
      <c r="B15" t="str">
        <f t="shared" si="0"/>
        <v>GRC PI PRC SP</v>
      </c>
      <c r="C15" s="7">
        <f t="shared" si="1"/>
        <v>4</v>
      </c>
      <c r="D15" t="s">
        <v>53</v>
      </c>
      <c r="E15">
        <v>-3.7001044037006298E-2</v>
      </c>
      <c r="F15">
        <v>0</v>
      </c>
      <c r="G15" t="s">
        <v>25</v>
      </c>
      <c r="H15">
        <v>-0.71871150757509605</v>
      </c>
      <c r="I15">
        <v>0.19809099281322101</v>
      </c>
      <c r="J15" t="s">
        <v>25</v>
      </c>
      <c r="K15">
        <v>4.6260601387817998E-3</v>
      </c>
      <c r="L15">
        <v>6.7870726461036701E-2</v>
      </c>
      <c r="M15" t="s">
        <v>24</v>
      </c>
      <c r="N15">
        <v>6.2837316885119496E-2</v>
      </c>
      <c r="O15">
        <v>0.24271691158625</v>
      </c>
      <c r="P15" t="s">
        <v>24</v>
      </c>
      <c r="Q15">
        <v>0.12875867386275999</v>
      </c>
      <c r="R15">
        <v>0.37620847977992899</v>
      </c>
      <c r="S15" t="s">
        <v>24</v>
      </c>
      <c r="T15">
        <v>5.3970701619121004E-3</v>
      </c>
      <c r="U15">
        <v>7.3280365461036404E-2</v>
      </c>
      <c r="V15" t="s">
        <v>24</v>
      </c>
      <c r="W15">
        <v>0.54164810054693202</v>
      </c>
      <c r="X15">
        <v>0.48183785701000098</v>
      </c>
      <c r="Y15" t="s">
        <v>24</v>
      </c>
      <c r="Z15">
        <v>-1.02516735231328</v>
      </c>
      <c r="AA15">
        <v>0.24399972832104</v>
      </c>
      <c r="AB15" t="s">
        <v>26</v>
      </c>
      <c r="AC15">
        <v>-1.0495094962670599</v>
      </c>
      <c r="AD15">
        <v>0.22976877574962401</v>
      </c>
      <c r="AE15" t="s">
        <v>26</v>
      </c>
      <c r="AF15">
        <v>0.72772834290320298</v>
      </c>
      <c r="AG15">
        <v>0.13259252125673901</v>
      </c>
      <c r="AH15" t="s">
        <v>24</v>
      </c>
      <c r="AI15">
        <v>0.72487463657864903</v>
      </c>
      <c r="AJ15">
        <v>0.42914250372773899</v>
      </c>
      <c r="AK15" t="s">
        <v>24</v>
      </c>
      <c r="AL15">
        <v>0</v>
      </c>
      <c r="AM15">
        <v>0</v>
      </c>
      <c r="AN15" t="s">
        <v>25</v>
      </c>
      <c r="AO15" t="s">
        <v>174</v>
      </c>
    </row>
    <row r="16" spans="1:43" x14ac:dyDescent="0.35">
      <c r="A16">
        <v>21</v>
      </c>
      <c r="B16" t="str">
        <f t="shared" si="0"/>
        <v>tcc grc PRC SP</v>
      </c>
      <c r="C16" s="7">
        <f t="shared" si="1"/>
        <v>3</v>
      </c>
      <c r="D16" t="s">
        <v>50</v>
      </c>
      <c r="E16">
        <v>-3.3745524532693499E-2</v>
      </c>
      <c r="F16">
        <v>0.16783011197950001</v>
      </c>
      <c r="G16" t="s">
        <v>24</v>
      </c>
      <c r="H16">
        <v>-0.67230666118642701</v>
      </c>
      <c r="I16">
        <v>0.28793679583418802</v>
      </c>
      <c r="J16" t="s">
        <v>25</v>
      </c>
      <c r="K16">
        <v>1.5695915279879E-2</v>
      </c>
      <c r="L16">
        <v>0.124307987278012</v>
      </c>
      <c r="M16" t="s">
        <v>24</v>
      </c>
      <c r="N16">
        <v>1.8532526475037801E-2</v>
      </c>
      <c r="O16">
        <v>0.13487962142748799</v>
      </c>
      <c r="P16" t="s">
        <v>24</v>
      </c>
      <c r="Q16">
        <v>3.6875945537065101E-2</v>
      </c>
      <c r="R16">
        <v>0.30062326990852201</v>
      </c>
      <c r="S16" t="s">
        <v>24</v>
      </c>
      <c r="T16">
        <v>3.0635400907715601E-2</v>
      </c>
      <c r="U16">
        <v>0.17234410369954101</v>
      </c>
      <c r="V16" t="s">
        <v>24</v>
      </c>
      <c r="W16">
        <v>-0.79576800368650402</v>
      </c>
      <c r="X16">
        <v>0.38119237582965798</v>
      </c>
      <c r="Y16" t="s">
        <v>26</v>
      </c>
      <c r="Z16">
        <v>-1.1517644403110401</v>
      </c>
      <c r="AA16">
        <v>0.38120163461608503</v>
      </c>
      <c r="AB16" t="s">
        <v>26</v>
      </c>
      <c r="AC16">
        <v>-1.09785179903622</v>
      </c>
      <c r="AD16">
        <v>0.279676700761886</v>
      </c>
      <c r="AE16" t="s">
        <v>26</v>
      </c>
      <c r="AF16">
        <v>0.71902832768298897</v>
      </c>
      <c r="AG16">
        <v>0.193770200643819</v>
      </c>
      <c r="AH16" t="s">
        <v>24</v>
      </c>
      <c r="AI16">
        <v>0.72602907515762505</v>
      </c>
      <c r="AJ16">
        <v>0.359350177961404</v>
      </c>
      <c r="AK16" t="s">
        <v>24</v>
      </c>
      <c r="AL16">
        <v>3.7821482602117998E-4</v>
      </c>
      <c r="AM16">
        <v>1.9445906748355501E-2</v>
      </c>
      <c r="AN16" t="s">
        <v>24</v>
      </c>
      <c r="AO16" t="s">
        <v>174</v>
      </c>
    </row>
    <row r="18" spans="1:39" x14ac:dyDescent="0.35">
      <c r="A18" t="s">
        <v>173</v>
      </c>
      <c r="E18">
        <f>AVERAGE(E2:E16)</f>
        <v>-3.0025003396657996E-2</v>
      </c>
      <c r="F18">
        <f>SQRT(SUMSQ(F2:F16))/COUNT(F2:F16)</f>
        <v>6.3478374202742396E-2</v>
      </c>
      <c r="H18">
        <f>AVERAGE(H2:H16)</f>
        <v>-0.33993456486202939</v>
      </c>
      <c r="I18">
        <f>SQRT(SUMSQ(I2:I16))/COUNT(I2:I16)</f>
        <v>0.10749868979005185</v>
      </c>
      <c r="K18">
        <f>AVERAGE(K2:K16)</f>
        <v>3.0642346337230028E-3</v>
      </c>
      <c r="L18">
        <f>SQRT(SUMSQ(L2:L16))/COUNT(L2:L16)</f>
        <v>1.4215616542822586E-2</v>
      </c>
      <c r="N18">
        <f>AVERAGE(N2:N16)</f>
        <v>0.21025965975206951</v>
      </c>
      <c r="O18">
        <f>SQRT(SUMSQ(O2:O16))/COUNT(O2:O16)</f>
        <v>8.5684038591659364E-2</v>
      </c>
      <c r="Q18">
        <f>AVERAGE(Q2:Q16)</f>
        <v>-2.0502116527031607E-2</v>
      </c>
      <c r="R18">
        <f>SQRT(SUMSQ(R2:R16))/COUNT(R2:R16)</f>
        <v>0.10115590119932376</v>
      </c>
      <c r="T18">
        <f>AVERAGE(T2:T16)</f>
        <v>1.9005460883526164E-2</v>
      </c>
      <c r="U18">
        <f>SQRT(SUMSQ(U2:U16))/COUNT(U2:U16)</f>
        <v>3.5058582064936332E-2</v>
      </c>
      <c r="W18">
        <f>AVERAGE(W2:W16)</f>
        <v>0.21341807506130372</v>
      </c>
      <c r="X18">
        <f>SQRT(SUMSQ(X2:X16))/COUNT(X2:X16)</f>
        <v>0.15826749403147058</v>
      </c>
      <c r="Z18">
        <f>AVERAGE(Z2:Z16)</f>
        <v>-0.12173409355315609</v>
      </c>
      <c r="AA18">
        <f>SQRT(SUMSQ(AA2:AA16))/COUNT(AA2:AA16)</f>
        <v>8.6738528837469839E-2</v>
      </c>
      <c r="AC18">
        <f>AVERAGE(AC2:AC16)</f>
        <v>-4.0701964705443655E-2</v>
      </c>
      <c r="AD18">
        <f>SQRT(SUMSQ(AD2:AD16))/COUNT(AD2:AD16)</f>
        <v>7.0865481080185422E-2</v>
      </c>
      <c r="AF18">
        <f>AVERAGE(AF2:AF16)</f>
        <v>-5.2927357926155508E-2</v>
      </c>
      <c r="AG18">
        <f>SQRT(SUMSQ(AG2:AG16))/COUNT(AG2:AG16)</f>
        <v>7.9396261275848784E-2</v>
      </c>
      <c r="AI18">
        <f>AVERAGE(AI2:AI16)</f>
        <v>-8.1181195926736949E-2</v>
      </c>
      <c r="AJ18">
        <f>SQRT(SUMSQ(AJ2:AJ16))/COUNT(AJ2:AJ16)</f>
        <v>0.12728028552972634</v>
      </c>
      <c r="AL18">
        <f>AVERAGE(AL2:AL16)</f>
        <v>1.0968849160815765E-3</v>
      </c>
      <c r="AM18">
        <f>SQRT(SUMSQ(AM2:AM16))/COUNT(AM2:AM16)</f>
        <v>7.8457176604081243E-3</v>
      </c>
    </row>
    <row r="20" spans="1:39" x14ac:dyDescent="0.35">
      <c r="A20" t="s">
        <v>73</v>
      </c>
    </row>
    <row r="21" spans="1:39" x14ac:dyDescent="0.35">
      <c r="A21" t="s">
        <v>136</v>
      </c>
      <c r="B21" t="s">
        <v>137</v>
      </c>
    </row>
    <row r="22" spans="1:39" x14ac:dyDescent="0.35">
      <c r="A22" t="s">
        <v>138</v>
      </c>
      <c r="B22" s="6" t="s">
        <v>139</v>
      </c>
      <c r="C22" t="s">
        <v>75</v>
      </c>
    </row>
    <row r="23" spans="1:39" x14ac:dyDescent="0.35">
      <c r="A23" t="s">
        <v>140</v>
      </c>
      <c r="B23" s="6" t="s">
        <v>141</v>
      </c>
      <c r="C23" t="s">
        <v>77</v>
      </c>
    </row>
    <row r="24" spans="1:39" x14ac:dyDescent="0.35">
      <c r="A24" t="s">
        <v>142</v>
      </c>
      <c r="B24" s="6" t="s">
        <v>143</v>
      </c>
      <c r="C24" t="s">
        <v>79</v>
      </c>
    </row>
    <row r="25" spans="1:39" x14ac:dyDescent="0.35">
      <c r="A25" t="s">
        <v>144</v>
      </c>
      <c r="B25" s="6" t="s">
        <v>145</v>
      </c>
      <c r="C25" t="s">
        <v>81</v>
      </c>
    </row>
    <row r="26" spans="1:39" x14ac:dyDescent="0.35">
      <c r="A26" t="s">
        <v>146</v>
      </c>
      <c r="B26" s="6" t="s">
        <v>147</v>
      </c>
      <c r="C26" t="s">
        <v>83</v>
      </c>
    </row>
    <row r="27" spans="1:39" x14ac:dyDescent="0.35">
      <c r="A27" t="s">
        <v>148</v>
      </c>
      <c r="B27" s="6" t="s">
        <v>149</v>
      </c>
      <c r="C27" t="s">
        <v>85</v>
      </c>
    </row>
    <row r="28" spans="1:39" x14ac:dyDescent="0.35">
      <c r="A28" t="s">
        <v>150</v>
      </c>
      <c r="B28" s="6" t="s">
        <v>151</v>
      </c>
      <c r="C28" t="s">
        <v>87</v>
      </c>
    </row>
    <row r="29" spans="1:39" x14ac:dyDescent="0.35">
      <c r="A29" t="s">
        <v>152</v>
      </c>
      <c r="B29" s="6" t="s">
        <v>153</v>
      </c>
      <c r="C29" t="s">
        <v>89</v>
      </c>
    </row>
    <row r="30" spans="1:39" x14ac:dyDescent="0.35">
      <c r="A30" t="s">
        <v>154</v>
      </c>
      <c r="B30" s="6" t="s">
        <v>155</v>
      </c>
      <c r="C30" t="s">
        <v>91</v>
      </c>
    </row>
    <row r="31" spans="1:39" x14ac:dyDescent="0.35">
      <c r="A31" t="s">
        <v>156</v>
      </c>
      <c r="B31" s="6" t="s">
        <v>98</v>
      </c>
      <c r="C31" t="s">
        <v>93</v>
      </c>
    </row>
    <row r="32" spans="1:39" x14ac:dyDescent="0.35">
      <c r="A32" t="s">
        <v>157</v>
      </c>
      <c r="B32" s="6" t="s">
        <v>158</v>
      </c>
      <c r="C32" t="s">
        <v>95</v>
      </c>
    </row>
    <row r="33" spans="1:3" x14ac:dyDescent="0.35">
      <c r="A33" t="s">
        <v>159</v>
      </c>
      <c r="B33" s="6" t="s">
        <v>160</v>
      </c>
      <c r="C33" t="s">
        <v>97</v>
      </c>
    </row>
  </sheetData>
  <autoFilter ref="A1:AO16" xr:uid="{B34CE322-D89B-4F00-9443-2053ECD3231D}">
    <filterColumn colId="3">
      <customFilters>
        <customFilter operator="notEqual" val=" "/>
      </customFilters>
    </filterColumn>
  </autoFilter>
  <conditionalFormatting sqref="C2:C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Sheet1</vt:lpstr>
      <vt:lpstr>Foglio1</vt:lpstr>
      <vt:lpstr>centroidi_annotated_21_risk_rev</vt:lpstr>
      <vt:lpstr>centroidi_annotated_21_risk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 Luca Vannini</cp:lastModifiedBy>
  <dcterms:created xsi:type="dcterms:W3CDTF">2025-06-23T09:35:13Z</dcterms:created>
  <dcterms:modified xsi:type="dcterms:W3CDTF">2026-01-07T15:18:03Z</dcterms:modified>
</cp:coreProperties>
</file>